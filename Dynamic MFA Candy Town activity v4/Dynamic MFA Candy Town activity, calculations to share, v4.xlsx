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6.xml" ContentType="application/vnd.openxmlformats-officedocument.drawing+xml"/>
  <Override PartName="/xl/comments5.xml" ContentType="application/vnd.openxmlformats-officedocument.spreadsheetml.comment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mainesystem-my.sharepoint.com/personal/reed_miller_maine_edu/Documents/Travel and Talks/MFA lecture/MFA Candytown Activity v3/"/>
    </mc:Choice>
  </mc:AlternateContent>
  <xr:revisionPtr revIDLastSave="20" documentId="8_{3BE27240-31B2-4701-B0F7-7E3907D3BEE6}" xr6:coauthVersionLast="47" xr6:coauthVersionMax="47" xr10:uidLastSave="{8D9BABA2-8EA8-4103-A468-35A6532747F6}"/>
  <bookViews>
    <workbookView minimized="1" xWindow="1428" yWindow="1428" windowWidth="17280" windowHeight="8928" tabRatio="730" activeTab="5" xr2:uid="{6CA3ABD1-4211-41CE-991D-D8811E30B83A}"/>
  </bookViews>
  <sheets>
    <sheet name="Intro" sheetId="8" r:id="rId1"/>
    <sheet name="Home Tracker Input Sheet" sheetId="9" r:id="rId2"/>
    <sheet name="Flow Tracker Input Sheet" sheetId="10" r:id="rId3"/>
    <sheet name="Hummus Town, growing stock" sheetId="13" r:id="rId4"/>
    <sheet name="Hummus Town, constant stock" sheetId="12" state="hidden" r:id="rId5"/>
    <sheet name="Hummus Town, build more" sheetId="11" r:id="rId6"/>
    <sheet name="Lifespan" sheetId="14" r:id="rId7"/>
  </sheets>
  <definedNames>
    <definedName name="scale_orig">Lifespan!$C$8</definedName>
    <definedName name="shape_orig">Lifespan!$C$7</definedName>
    <definedName name="shift_orig">Lifespan!$C$6</definedName>
  </definedNames>
  <calcPr calcId="191029" concurrentCalc="0"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14" l="1"/>
  <c r="F9" i="14"/>
  <c r="H9" i="14"/>
  <c r="I9" i="14"/>
  <c r="J9" i="14"/>
  <c r="K9" i="14"/>
  <c r="L9" i="14"/>
  <c r="M9" i="14"/>
  <c r="N9" i="14"/>
  <c r="O9" i="14"/>
  <c r="P9" i="14"/>
  <c r="Q9" i="14"/>
  <c r="R9" i="14"/>
  <c r="S9" i="14"/>
  <c r="T9" i="14"/>
  <c r="U9" i="14"/>
  <c r="V9" i="14"/>
  <c r="W9" i="14"/>
  <c r="X9" i="14"/>
  <c r="Y9" i="14"/>
  <c r="Z9" i="14"/>
  <c r="G10" i="14"/>
  <c r="H10" i="14"/>
  <c r="I10" i="14"/>
  <c r="J10" i="14"/>
  <c r="K10" i="14"/>
  <c r="L10" i="14"/>
  <c r="M10" i="14"/>
  <c r="N10" i="14"/>
  <c r="O10" i="14"/>
  <c r="P10" i="14"/>
  <c r="Q10" i="14"/>
  <c r="R10" i="14"/>
  <c r="S10" i="14"/>
  <c r="T10" i="14"/>
  <c r="U10" i="14"/>
  <c r="V10" i="14"/>
  <c r="W10" i="14"/>
  <c r="X10" i="14"/>
  <c r="Y10" i="14"/>
  <c r="Z10" i="14"/>
  <c r="F10" i="14"/>
  <c r="Z7" i="14"/>
  <c r="Y7" i="14"/>
  <c r="Z8" i="14"/>
  <c r="X7" i="14"/>
  <c r="Y8" i="14"/>
  <c r="W7" i="14"/>
  <c r="X8" i="14"/>
  <c r="V7" i="14"/>
  <c r="W8" i="14"/>
  <c r="U7" i="14"/>
  <c r="V8" i="14"/>
  <c r="T7" i="14"/>
  <c r="U8" i="14"/>
  <c r="S7" i="14"/>
  <c r="T8" i="14"/>
  <c r="R7" i="14"/>
  <c r="S8" i="14"/>
  <c r="Q7" i="14"/>
  <c r="R8" i="14"/>
  <c r="P7" i="14"/>
  <c r="Q8" i="14"/>
  <c r="O7" i="14"/>
  <c r="P8" i="14"/>
  <c r="N7" i="14"/>
  <c r="O8" i="14"/>
  <c r="M7" i="14"/>
  <c r="N8" i="14"/>
  <c r="L7" i="14"/>
  <c r="M8" i="14"/>
  <c r="K7" i="14"/>
  <c r="L8" i="14"/>
  <c r="J7" i="14"/>
  <c r="K8" i="14"/>
  <c r="I7" i="14"/>
  <c r="J8" i="14"/>
  <c r="H7" i="14"/>
  <c r="I8" i="14"/>
  <c r="G7" i="14"/>
  <c r="H8" i="14"/>
  <c r="F7" i="14"/>
  <c r="G8" i="14"/>
  <c r="C8" i="13"/>
  <c r="C7" i="13"/>
  <c r="C6" i="13"/>
  <c r="E17" i="9"/>
  <c r="Y113" i="9"/>
  <c r="E21" i="9"/>
  <c r="Y121" i="9"/>
  <c r="Y129" i="9"/>
  <c r="E24" i="10"/>
  <c r="E16" i="9"/>
  <c r="E32" i="9"/>
  <c r="E20" i="9"/>
  <c r="E40" i="9"/>
  <c r="E48" i="9"/>
  <c r="E33" i="9"/>
  <c r="E41" i="9"/>
  <c r="E49" i="9"/>
  <c r="E34" i="9"/>
  <c r="E42" i="9"/>
  <c r="E50" i="9"/>
  <c r="E35" i="9"/>
  <c r="E43" i="9"/>
  <c r="E51" i="9"/>
  <c r="T6" i="10"/>
  <c r="F13" i="11"/>
  <c r="H7" i="11"/>
  <c r="I7" i="11"/>
  <c r="J7" i="11"/>
  <c r="K7" i="11"/>
  <c r="L7" i="11"/>
  <c r="M7" i="11"/>
  <c r="N7" i="11"/>
  <c r="O7" i="11"/>
  <c r="P7" i="11"/>
  <c r="Q7" i="11"/>
  <c r="R7" i="11"/>
  <c r="S7" i="11"/>
  <c r="T7" i="11"/>
  <c r="U7" i="11"/>
  <c r="V7" i="11"/>
  <c r="W7" i="11"/>
  <c r="X7" i="11"/>
  <c r="Y7" i="11"/>
  <c r="Z7" i="11"/>
  <c r="G7" i="11"/>
  <c r="H8" i="11"/>
  <c r="I8" i="11"/>
  <c r="J8" i="11"/>
  <c r="K8" i="11"/>
  <c r="L8" i="11"/>
  <c r="M8" i="11"/>
  <c r="N8" i="11"/>
  <c r="O8" i="11"/>
  <c r="P8" i="11"/>
  <c r="Q8" i="11"/>
  <c r="R8" i="11"/>
  <c r="S8" i="11"/>
  <c r="T8" i="11"/>
  <c r="U8" i="11"/>
  <c r="V8" i="11"/>
  <c r="W8" i="11"/>
  <c r="X8" i="11"/>
  <c r="Y8" i="11"/>
  <c r="Z8" i="11"/>
  <c r="F7" i="11"/>
  <c r="G8" i="11"/>
  <c r="C8" i="11"/>
  <c r="C7" i="11"/>
  <c r="C6" i="11"/>
  <c r="I7" i="13"/>
  <c r="H7" i="13"/>
  <c r="I8" i="13"/>
  <c r="J7" i="13"/>
  <c r="J8" i="13"/>
  <c r="K7" i="13"/>
  <c r="K8" i="13"/>
  <c r="L7" i="13"/>
  <c r="L8" i="13"/>
  <c r="M7" i="13"/>
  <c r="M8" i="13"/>
  <c r="N7" i="13"/>
  <c r="N8" i="13"/>
  <c r="O7" i="13"/>
  <c r="O8" i="13"/>
  <c r="P7" i="13"/>
  <c r="P8" i="13"/>
  <c r="Q7" i="13"/>
  <c r="Q8" i="13"/>
  <c r="R7" i="13"/>
  <c r="R8" i="13"/>
  <c r="S7" i="13"/>
  <c r="S8" i="13"/>
  <c r="T7" i="13"/>
  <c r="T8" i="13"/>
  <c r="U7" i="13"/>
  <c r="U8" i="13"/>
  <c r="V7" i="13"/>
  <c r="V8" i="13"/>
  <c r="W7" i="13"/>
  <c r="W8" i="13"/>
  <c r="X7" i="13"/>
  <c r="X8" i="13"/>
  <c r="Y7" i="13"/>
  <c r="Y8" i="13"/>
  <c r="Z7" i="13"/>
  <c r="Z8" i="13"/>
  <c r="G7" i="13"/>
  <c r="F7" i="13"/>
  <c r="G8" i="13"/>
  <c r="H8" i="13"/>
  <c r="E68" i="13"/>
  <c r="F13" i="13"/>
  <c r="G68" i="13"/>
  <c r="G69" i="13"/>
  <c r="G70" i="13"/>
  <c r="G71" i="13"/>
  <c r="G72" i="13"/>
  <c r="G73" i="13"/>
  <c r="G74" i="13"/>
  <c r="G75" i="13"/>
  <c r="G76" i="13"/>
  <c r="G77" i="13"/>
  <c r="G78" i="13"/>
  <c r="G79" i="13"/>
  <c r="G80" i="13"/>
  <c r="G81" i="13"/>
  <c r="G82" i="13"/>
  <c r="G83" i="13"/>
  <c r="G84" i="13"/>
  <c r="G85" i="13"/>
  <c r="G86" i="13"/>
  <c r="G87" i="13"/>
  <c r="G88" i="13"/>
  <c r="G89" i="13"/>
  <c r="G90" i="13"/>
  <c r="E37" i="13"/>
  <c r="G37" i="13"/>
  <c r="G38" i="13"/>
  <c r="G39" i="13"/>
  <c r="G40" i="13"/>
  <c r="G41" i="13"/>
  <c r="G42" i="13"/>
  <c r="G43" i="13"/>
  <c r="G44" i="13"/>
  <c r="G45" i="13"/>
  <c r="G46" i="13"/>
  <c r="G47" i="13"/>
  <c r="G48" i="13"/>
  <c r="G49" i="13"/>
  <c r="G50" i="13"/>
  <c r="G51" i="13"/>
  <c r="G52" i="13"/>
  <c r="G53" i="13"/>
  <c r="G54" i="13"/>
  <c r="G55" i="13"/>
  <c r="G56" i="13"/>
  <c r="G57" i="13"/>
  <c r="G58" i="13"/>
  <c r="G59" i="13"/>
  <c r="B37" i="13"/>
  <c r="B38" i="13"/>
  <c r="C38" i="13"/>
  <c r="AY88" i="13"/>
  <c r="AX88" i="13"/>
  <c r="AW88" i="13"/>
  <c r="AV88" i="13"/>
  <c r="AU88" i="13"/>
  <c r="AT88" i="13"/>
  <c r="AS88" i="13"/>
  <c r="AR88" i="13"/>
  <c r="AQ88" i="13"/>
  <c r="AP88" i="13"/>
  <c r="AO88" i="13"/>
  <c r="AN88" i="13"/>
  <c r="AM88" i="13"/>
  <c r="AL88" i="13"/>
  <c r="AK88" i="13"/>
  <c r="AJ88" i="13"/>
  <c r="AI88" i="13"/>
  <c r="AH88" i="13"/>
  <c r="AG88" i="13"/>
  <c r="AF88" i="13"/>
  <c r="Z88" i="13"/>
  <c r="Y88" i="13"/>
  <c r="X88" i="13"/>
  <c r="W88" i="13"/>
  <c r="V88" i="13"/>
  <c r="U88" i="13"/>
  <c r="T88" i="13"/>
  <c r="S88" i="13"/>
  <c r="R88" i="13"/>
  <c r="Q88" i="13"/>
  <c r="P88" i="13"/>
  <c r="O88" i="13"/>
  <c r="N88" i="13"/>
  <c r="M88" i="13"/>
  <c r="L88" i="13"/>
  <c r="K88" i="13"/>
  <c r="J88" i="13"/>
  <c r="I88" i="13"/>
  <c r="H88" i="13"/>
  <c r="AX87" i="13"/>
  <c r="AW87" i="13"/>
  <c r="AV87" i="13"/>
  <c r="AU87" i="13"/>
  <c r="AT87" i="13"/>
  <c r="AS87" i="13"/>
  <c r="AR87" i="13"/>
  <c r="AQ87" i="13"/>
  <c r="AP87" i="13"/>
  <c r="AO87" i="13"/>
  <c r="AN87" i="13"/>
  <c r="AM87" i="13"/>
  <c r="AL87" i="13"/>
  <c r="AK87" i="13"/>
  <c r="AJ87" i="13"/>
  <c r="AI87" i="13"/>
  <c r="AH87" i="13"/>
  <c r="AG87" i="13"/>
  <c r="AF87" i="13"/>
  <c r="Y87" i="13"/>
  <c r="X87" i="13"/>
  <c r="W87" i="13"/>
  <c r="V87" i="13"/>
  <c r="U87" i="13"/>
  <c r="T87" i="13"/>
  <c r="S87" i="13"/>
  <c r="R87" i="13"/>
  <c r="Q87" i="13"/>
  <c r="P87" i="13"/>
  <c r="O87" i="13"/>
  <c r="N87" i="13"/>
  <c r="M87" i="13"/>
  <c r="L87" i="13"/>
  <c r="K87" i="13"/>
  <c r="J87" i="13"/>
  <c r="I87" i="13"/>
  <c r="H87" i="13"/>
  <c r="AW86" i="13"/>
  <c r="AV86" i="13"/>
  <c r="AU86" i="13"/>
  <c r="AT86" i="13"/>
  <c r="AS86" i="13"/>
  <c r="AR86" i="13"/>
  <c r="AQ86" i="13"/>
  <c r="AP86" i="13"/>
  <c r="AO86" i="13"/>
  <c r="AN86" i="13"/>
  <c r="AM86" i="13"/>
  <c r="AL86" i="13"/>
  <c r="AK86" i="13"/>
  <c r="AJ86" i="13"/>
  <c r="AI86" i="13"/>
  <c r="AH86" i="13"/>
  <c r="AG86" i="13"/>
  <c r="AF86" i="13"/>
  <c r="X86" i="13"/>
  <c r="W86" i="13"/>
  <c r="V86" i="13"/>
  <c r="U86" i="13"/>
  <c r="T86" i="13"/>
  <c r="S86" i="13"/>
  <c r="R86" i="13"/>
  <c r="Q86" i="13"/>
  <c r="P86" i="13"/>
  <c r="O86" i="13"/>
  <c r="N86" i="13"/>
  <c r="M86" i="13"/>
  <c r="L86" i="13"/>
  <c r="K86" i="13"/>
  <c r="J86" i="13"/>
  <c r="I86" i="13"/>
  <c r="H86" i="13"/>
  <c r="AV85" i="13"/>
  <c r="AU85" i="13"/>
  <c r="AT85" i="13"/>
  <c r="AS85" i="13"/>
  <c r="AR85" i="13"/>
  <c r="AQ85" i="13"/>
  <c r="AP85" i="13"/>
  <c r="AO85" i="13"/>
  <c r="AN85" i="13"/>
  <c r="AM85" i="13"/>
  <c r="AL85" i="13"/>
  <c r="AK85" i="13"/>
  <c r="AJ85" i="13"/>
  <c r="AI85" i="13"/>
  <c r="AH85" i="13"/>
  <c r="AG85" i="13"/>
  <c r="AF85" i="13"/>
  <c r="W85" i="13"/>
  <c r="V85" i="13"/>
  <c r="U85" i="13"/>
  <c r="T85" i="13"/>
  <c r="S85" i="13"/>
  <c r="R85" i="13"/>
  <c r="Q85" i="13"/>
  <c r="P85" i="13"/>
  <c r="O85" i="13"/>
  <c r="N85" i="13"/>
  <c r="M85" i="13"/>
  <c r="L85" i="13"/>
  <c r="K85" i="13"/>
  <c r="J85" i="13"/>
  <c r="I85" i="13"/>
  <c r="H85" i="13"/>
  <c r="AU84" i="13"/>
  <c r="AT84" i="13"/>
  <c r="AS84" i="13"/>
  <c r="AR84" i="13"/>
  <c r="AQ84" i="13"/>
  <c r="AP84" i="13"/>
  <c r="AO84" i="13"/>
  <c r="AN84" i="13"/>
  <c r="AM84" i="13"/>
  <c r="AL84" i="13"/>
  <c r="AK84" i="13"/>
  <c r="AJ84" i="13"/>
  <c r="AI84" i="13"/>
  <c r="AH84" i="13"/>
  <c r="AG84" i="13"/>
  <c r="AF84" i="13"/>
  <c r="V84" i="13"/>
  <c r="U84" i="13"/>
  <c r="T84" i="13"/>
  <c r="S84" i="13"/>
  <c r="R84" i="13"/>
  <c r="Q84" i="13"/>
  <c r="P84" i="13"/>
  <c r="O84" i="13"/>
  <c r="N84" i="13"/>
  <c r="M84" i="13"/>
  <c r="L84" i="13"/>
  <c r="K84" i="13"/>
  <c r="J84" i="13"/>
  <c r="I84" i="13"/>
  <c r="H84" i="13"/>
  <c r="AT83" i="13"/>
  <c r="AS83" i="13"/>
  <c r="AR83" i="13"/>
  <c r="AQ83" i="13"/>
  <c r="AP83" i="13"/>
  <c r="AO83" i="13"/>
  <c r="AN83" i="13"/>
  <c r="AM83" i="13"/>
  <c r="AL83" i="13"/>
  <c r="AK83" i="13"/>
  <c r="AJ83" i="13"/>
  <c r="AI83" i="13"/>
  <c r="AH83" i="13"/>
  <c r="AG83" i="13"/>
  <c r="AF83" i="13"/>
  <c r="U83" i="13"/>
  <c r="T83" i="13"/>
  <c r="S83" i="13"/>
  <c r="R83" i="13"/>
  <c r="Q83" i="13"/>
  <c r="P83" i="13"/>
  <c r="O83" i="13"/>
  <c r="N83" i="13"/>
  <c r="M83" i="13"/>
  <c r="L83" i="13"/>
  <c r="K83" i="13"/>
  <c r="J83" i="13"/>
  <c r="I83" i="13"/>
  <c r="H83" i="13"/>
  <c r="AS82" i="13"/>
  <c r="AR82" i="13"/>
  <c r="AQ82" i="13"/>
  <c r="AP82" i="13"/>
  <c r="AO82" i="13"/>
  <c r="AN82" i="13"/>
  <c r="AM82" i="13"/>
  <c r="AL82" i="13"/>
  <c r="AK82" i="13"/>
  <c r="AJ82" i="13"/>
  <c r="AI82" i="13"/>
  <c r="AH82" i="13"/>
  <c r="AG82" i="13"/>
  <c r="AF82" i="13"/>
  <c r="T82" i="13"/>
  <c r="S82" i="13"/>
  <c r="R82" i="13"/>
  <c r="Q82" i="13"/>
  <c r="P82" i="13"/>
  <c r="O82" i="13"/>
  <c r="N82" i="13"/>
  <c r="M82" i="13"/>
  <c r="L82" i="13"/>
  <c r="K82" i="13"/>
  <c r="J82" i="13"/>
  <c r="I82" i="13"/>
  <c r="H82" i="13"/>
  <c r="AR81" i="13"/>
  <c r="AQ81" i="13"/>
  <c r="AP81" i="13"/>
  <c r="AO81" i="13"/>
  <c r="AN81" i="13"/>
  <c r="AM81" i="13"/>
  <c r="AL81" i="13"/>
  <c r="AK81" i="13"/>
  <c r="AJ81" i="13"/>
  <c r="AI81" i="13"/>
  <c r="AH81" i="13"/>
  <c r="AG81" i="13"/>
  <c r="AF81" i="13"/>
  <c r="S81" i="13"/>
  <c r="R81" i="13"/>
  <c r="Q81" i="13"/>
  <c r="P81" i="13"/>
  <c r="O81" i="13"/>
  <c r="N81" i="13"/>
  <c r="M81" i="13"/>
  <c r="L81" i="13"/>
  <c r="K81" i="13"/>
  <c r="J81" i="13"/>
  <c r="I81" i="13"/>
  <c r="H81" i="13"/>
  <c r="AQ80" i="13"/>
  <c r="AP80" i="13"/>
  <c r="AO80" i="13"/>
  <c r="AN80" i="13"/>
  <c r="AM80" i="13"/>
  <c r="AL80" i="13"/>
  <c r="AK80" i="13"/>
  <c r="AJ80" i="13"/>
  <c r="AI80" i="13"/>
  <c r="AH80" i="13"/>
  <c r="AG80" i="13"/>
  <c r="AF80" i="13"/>
  <c r="R80" i="13"/>
  <c r="Q80" i="13"/>
  <c r="P80" i="13"/>
  <c r="O80" i="13"/>
  <c r="N80" i="13"/>
  <c r="M80" i="13"/>
  <c r="L80" i="13"/>
  <c r="K80" i="13"/>
  <c r="J80" i="13"/>
  <c r="I80" i="13"/>
  <c r="H80" i="13"/>
  <c r="AP79" i="13"/>
  <c r="AO79" i="13"/>
  <c r="AN79" i="13"/>
  <c r="AM79" i="13"/>
  <c r="AL79" i="13"/>
  <c r="AK79" i="13"/>
  <c r="AJ79" i="13"/>
  <c r="AI79" i="13"/>
  <c r="AH79" i="13"/>
  <c r="AG79" i="13"/>
  <c r="AF79" i="13"/>
  <c r="Q79" i="13"/>
  <c r="P79" i="13"/>
  <c r="O79" i="13"/>
  <c r="N79" i="13"/>
  <c r="M79" i="13"/>
  <c r="L79" i="13"/>
  <c r="K79" i="13"/>
  <c r="J79" i="13"/>
  <c r="I79" i="13"/>
  <c r="H79" i="13"/>
  <c r="AO78" i="13"/>
  <c r="AN78" i="13"/>
  <c r="AM78" i="13"/>
  <c r="AL78" i="13"/>
  <c r="AK78" i="13"/>
  <c r="AJ78" i="13"/>
  <c r="AI78" i="13"/>
  <c r="AH78" i="13"/>
  <c r="AG78" i="13"/>
  <c r="AF78" i="13"/>
  <c r="P78" i="13"/>
  <c r="O78" i="13"/>
  <c r="N78" i="13"/>
  <c r="M78" i="13"/>
  <c r="L78" i="13"/>
  <c r="K78" i="13"/>
  <c r="J78" i="13"/>
  <c r="I78" i="13"/>
  <c r="H78" i="13"/>
  <c r="AN77" i="13"/>
  <c r="AM77" i="13"/>
  <c r="AL77" i="13"/>
  <c r="AK77" i="13"/>
  <c r="AJ77" i="13"/>
  <c r="AI77" i="13"/>
  <c r="AH77" i="13"/>
  <c r="AG77" i="13"/>
  <c r="AF77" i="13"/>
  <c r="O77" i="13"/>
  <c r="N77" i="13"/>
  <c r="M77" i="13"/>
  <c r="L77" i="13"/>
  <c r="K77" i="13"/>
  <c r="J77" i="13"/>
  <c r="I77" i="13"/>
  <c r="H77" i="13"/>
  <c r="AM76" i="13"/>
  <c r="AL76" i="13"/>
  <c r="AK76" i="13"/>
  <c r="AJ76" i="13"/>
  <c r="AI76" i="13"/>
  <c r="AH76" i="13"/>
  <c r="AG76" i="13"/>
  <c r="AF76" i="13"/>
  <c r="N76" i="13"/>
  <c r="M76" i="13"/>
  <c r="L76" i="13"/>
  <c r="K76" i="13"/>
  <c r="J76" i="13"/>
  <c r="I76" i="13"/>
  <c r="H76" i="13"/>
  <c r="AL75" i="13"/>
  <c r="AK75" i="13"/>
  <c r="AJ75" i="13"/>
  <c r="AI75" i="13"/>
  <c r="AH75" i="13"/>
  <c r="AG75" i="13"/>
  <c r="AF75" i="13"/>
  <c r="M75" i="13"/>
  <c r="L75" i="13"/>
  <c r="K75" i="13"/>
  <c r="J75" i="13"/>
  <c r="I75" i="13"/>
  <c r="H75" i="13"/>
  <c r="AK74" i="13"/>
  <c r="AJ74" i="13"/>
  <c r="AI74" i="13"/>
  <c r="AH74" i="13"/>
  <c r="AG74" i="13"/>
  <c r="AF74" i="13"/>
  <c r="L74" i="13"/>
  <c r="K74" i="13"/>
  <c r="J74" i="13"/>
  <c r="I74" i="13"/>
  <c r="H74" i="13"/>
  <c r="AJ73" i="13"/>
  <c r="AI73" i="13"/>
  <c r="AH73" i="13"/>
  <c r="AG73" i="13"/>
  <c r="AF73" i="13"/>
  <c r="K73" i="13"/>
  <c r="J73" i="13"/>
  <c r="I73" i="13"/>
  <c r="H73" i="13"/>
  <c r="AI72" i="13"/>
  <c r="AH72" i="13"/>
  <c r="AG72" i="13"/>
  <c r="AF72" i="13"/>
  <c r="J72" i="13"/>
  <c r="I72" i="13"/>
  <c r="H72" i="13"/>
  <c r="AH71" i="13"/>
  <c r="AG71" i="13"/>
  <c r="AF71" i="13"/>
  <c r="I71" i="13"/>
  <c r="H71" i="13"/>
  <c r="AG70" i="13"/>
  <c r="AF70" i="13"/>
  <c r="H70" i="13"/>
  <c r="AF69" i="13"/>
  <c r="AY57" i="13"/>
  <c r="AX57" i="13"/>
  <c r="AW57" i="13"/>
  <c r="AV57" i="13"/>
  <c r="AU57" i="13"/>
  <c r="AT57" i="13"/>
  <c r="AS57" i="13"/>
  <c r="AR57" i="13"/>
  <c r="AQ57" i="13"/>
  <c r="AP57" i="13"/>
  <c r="AO57" i="13"/>
  <c r="AN57" i="13"/>
  <c r="AM57" i="13"/>
  <c r="AL57" i="13"/>
  <c r="AK57" i="13"/>
  <c r="AJ57" i="13"/>
  <c r="AI57" i="13"/>
  <c r="AH57" i="13"/>
  <c r="AG57" i="13"/>
  <c r="AF57" i="13"/>
  <c r="Z57" i="13"/>
  <c r="Y57" i="13"/>
  <c r="X57" i="13"/>
  <c r="W57" i="13"/>
  <c r="V57" i="13"/>
  <c r="U57" i="13"/>
  <c r="T57" i="13"/>
  <c r="S57" i="13"/>
  <c r="R57" i="13"/>
  <c r="Q57" i="13"/>
  <c r="P57" i="13"/>
  <c r="O57" i="13"/>
  <c r="N57" i="13"/>
  <c r="M57" i="13"/>
  <c r="L57" i="13"/>
  <c r="K57" i="13"/>
  <c r="J57" i="13"/>
  <c r="I57" i="13"/>
  <c r="H57" i="13"/>
  <c r="AX56" i="13"/>
  <c r="AW56" i="13"/>
  <c r="AV56" i="13"/>
  <c r="AU56" i="13"/>
  <c r="AT56" i="13"/>
  <c r="AS56" i="13"/>
  <c r="AR56" i="13"/>
  <c r="AQ56" i="13"/>
  <c r="AP56" i="13"/>
  <c r="AO56" i="13"/>
  <c r="AN56" i="13"/>
  <c r="AM56" i="13"/>
  <c r="AL56" i="13"/>
  <c r="AK56" i="13"/>
  <c r="AJ56" i="13"/>
  <c r="AI56" i="13"/>
  <c r="AH56" i="13"/>
  <c r="AG56" i="13"/>
  <c r="AF56" i="13"/>
  <c r="Y56" i="13"/>
  <c r="X56" i="13"/>
  <c r="W56" i="13"/>
  <c r="V56" i="13"/>
  <c r="U56" i="13"/>
  <c r="T56" i="13"/>
  <c r="S56" i="13"/>
  <c r="R56" i="13"/>
  <c r="Q56" i="13"/>
  <c r="P56" i="13"/>
  <c r="O56" i="13"/>
  <c r="N56" i="13"/>
  <c r="M56" i="13"/>
  <c r="L56" i="13"/>
  <c r="K56" i="13"/>
  <c r="J56" i="13"/>
  <c r="I56" i="13"/>
  <c r="H56" i="13"/>
  <c r="AW55" i="13"/>
  <c r="AV55" i="13"/>
  <c r="AU55" i="13"/>
  <c r="AT55" i="13"/>
  <c r="AS55" i="13"/>
  <c r="AR55" i="13"/>
  <c r="AQ55" i="13"/>
  <c r="AP55" i="13"/>
  <c r="AO55" i="13"/>
  <c r="AN55" i="13"/>
  <c r="AM55" i="13"/>
  <c r="AL55" i="13"/>
  <c r="AK55" i="13"/>
  <c r="AJ55" i="13"/>
  <c r="AI55" i="13"/>
  <c r="AH55" i="13"/>
  <c r="AG55" i="13"/>
  <c r="AF55" i="13"/>
  <c r="X55" i="13"/>
  <c r="W55" i="13"/>
  <c r="V55" i="13"/>
  <c r="U55" i="13"/>
  <c r="T55" i="13"/>
  <c r="S55" i="13"/>
  <c r="R55" i="13"/>
  <c r="Q55" i="13"/>
  <c r="P55" i="13"/>
  <c r="O55" i="13"/>
  <c r="N55" i="13"/>
  <c r="M55" i="13"/>
  <c r="L55" i="13"/>
  <c r="K55" i="13"/>
  <c r="J55" i="13"/>
  <c r="I55" i="13"/>
  <c r="H55" i="13"/>
  <c r="AV54" i="13"/>
  <c r="AU54" i="13"/>
  <c r="AT54" i="13"/>
  <c r="AS54" i="13"/>
  <c r="AR54" i="13"/>
  <c r="AQ54" i="13"/>
  <c r="AP54" i="13"/>
  <c r="AO54" i="13"/>
  <c r="AN54" i="13"/>
  <c r="AM54" i="13"/>
  <c r="AL54" i="13"/>
  <c r="AK54" i="13"/>
  <c r="AJ54" i="13"/>
  <c r="AI54" i="13"/>
  <c r="AH54" i="13"/>
  <c r="AG54" i="13"/>
  <c r="AF54" i="13"/>
  <c r="W54" i="13"/>
  <c r="V54" i="13"/>
  <c r="U54" i="13"/>
  <c r="T54" i="13"/>
  <c r="S54" i="13"/>
  <c r="R54" i="13"/>
  <c r="Q54" i="13"/>
  <c r="P54" i="13"/>
  <c r="O54" i="13"/>
  <c r="N54" i="13"/>
  <c r="M54" i="13"/>
  <c r="L54" i="13"/>
  <c r="K54" i="13"/>
  <c r="J54" i="13"/>
  <c r="I54" i="13"/>
  <c r="H54" i="13"/>
  <c r="AU53" i="13"/>
  <c r="AT53" i="13"/>
  <c r="AS53" i="13"/>
  <c r="AR53" i="13"/>
  <c r="AQ53" i="13"/>
  <c r="AP53" i="13"/>
  <c r="AO53" i="13"/>
  <c r="AN53" i="13"/>
  <c r="AM53" i="13"/>
  <c r="AL53" i="13"/>
  <c r="AK53" i="13"/>
  <c r="AJ53" i="13"/>
  <c r="AI53" i="13"/>
  <c r="AH53" i="13"/>
  <c r="AG53" i="13"/>
  <c r="AF53" i="13"/>
  <c r="V53" i="13"/>
  <c r="U53" i="13"/>
  <c r="T53" i="13"/>
  <c r="S53" i="13"/>
  <c r="R53" i="13"/>
  <c r="Q53" i="13"/>
  <c r="P53" i="13"/>
  <c r="O53" i="13"/>
  <c r="N53" i="13"/>
  <c r="M53" i="13"/>
  <c r="L53" i="13"/>
  <c r="K53" i="13"/>
  <c r="J53" i="13"/>
  <c r="I53" i="13"/>
  <c r="H53" i="13"/>
  <c r="AT52" i="13"/>
  <c r="AS52" i="13"/>
  <c r="AR52" i="13"/>
  <c r="AQ52" i="13"/>
  <c r="AP52" i="13"/>
  <c r="AO52" i="13"/>
  <c r="AN52" i="13"/>
  <c r="AM52" i="13"/>
  <c r="AL52" i="13"/>
  <c r="AK52" i="13"/>
  <c r="AJ52" i="13"/>
  <c r="AI52" i="13"/>
  <c r="AH52" i="13"/>
  <c r="AG52" i="13"/>
  <c r="AF52" i="13"/>
  <c r="U52" i="13"/>
  <c r="T52" i="13"/>
  <c r="S52" i="13"/>
  <c r="R52" i="13"/>
  <c r="Q52" i="13"/>
  <c r="P52" i="13"/>
  <c r="O52" i="13"/>
  <c r="N52" i="13"/>
  <c r="M52" i="13"/>
  <c r="L52" i="13"/>
  <c r="K52" i="13"/>
  <c r="J52" i="13"/>
  <c r="I52" i="13"/>
  <c r="H52" i="13"/>
  <c r="AS51" i="13"/>
  <c r="AR51" i="13"/>
  <c r="AQ51" i="13"/>
  <c r="AP51" i="13"/>
  <c r="AO51" i="13"/>
  <c r="AN51" i="13"/>
  <c r="AM51" i="13"/>
  <c r="AL51" i="13"/>
  <c r="AK51" i="13"/>
  <c r="AJ51" i="13"/>
  <c r="AI51" i="13"/>
  <c r="AH51" i="13"/>
  <c r="AG51" i="13"/>
  <c r="AF51" i="13"/>
  <c r="T51" i="13"/>
  <c r="S51" i="13"/>
  <c r="R51" i="13"/>
  <c r="Q51" i="13"/>
  <c r="P51" i="13"/>
  <c r="O51" i="13"/>
  <c r="N51" i="13"/>
  <c r="M51" i="13"/>
  <c r="L51" i="13"/>
  <c r="K51" i="13"/>
  <c r="J51" i="13"/>
  <c r="I51" i="13"/>
  <c r="H51" i="13"/>
  <c r="AR50" i="13"/>
  <c r="AQ50" i="13"/>
  <c r="AP50" i="13"/>
  <c r="AO50" i="13"/>
  <c r="AN50" i="13"/>
  <c r="AM50" i="13"/>
  <c r="AL50" i="13"/>
  <c r="AK50" i="13"/>
  <c r="AJ50" i="13"/>
  <c r="AI50" i="13"/>
  <c r="AH50" i="13"/>
  <c r="AG50" i="13"/>
  <c r="AF50" i="13"/>
  <c r="S50" i="13"/>
  <c r="R50" i="13"/>
  <c r="Q50" i="13"/>
  <c r="P50" i="13"/>
  <c r="O50" i="13"/>
  <c r="N50" i="13"/>
  <c r="M50" i="13"/>
  <c r="L50" i="13"/>
  <c r="K50" i="13"/>
  <c r="J50" i="13"/>
  <c r="I50" i="13"/>
  <c r="H50" i="13"/>
  <c r="AQ49" i="13"/>
  <c r="AP49" i="13"/>
  <c r="AO49" i="13"/>
  <c r="AN49" i="13"/>
  <c r="AM49" i="13"/>
  <c r="AL49" i="13"/>
  <c r="AK49" i="13"/>
  <c r="AJ49" i="13"/>
  <c r="AI49" i="13"/>
  <c r="AH49" i="13"/>
  <c r="AG49" i="13"/>
  <c r="AF49" i="13"/>
  <c r="R49" i="13"/>
  <c r="Q49" i="13"/>
  <c r="P49" i="13"/>
  <c r="O49" i="13"/>
  <c r="N49" i="13"/>
  <c r="M49" i="13"/>
  <c r="L49" i="13"/>
  <c r="K49" i="13"/>
  <c r="J49" i="13"/>
  <c r="I49" i="13"/>
  <c r="H49" i="13"/>
  <c r="AP48" i="13"/>
  <c r="AO48" i="13"/>
  <c r="AN48" i="13"/>
  <c r="AM48" i="13"/>
  <c r="AL48" i="13"/>
  <c r="AK48" i="13"/>
  <c r="AJ48" i="13"/>
  <c r="AI48" i="13"/>
  <c r="AH48" i="13"/>
  <c r="AG48" i="13"/>
  <c r="AF48" i="13"/>
  <c r="Q48" i="13"/>
  <c r="P48" i="13"/>
  <c r="O48" i="13"/>
  <c r="N48" i="13"/>
  <c r="M48" i="13"/>
  <c r="L48" i="13"/>
  <c r="K48" i="13"/>
  <c r="J48" i="13"/>
  <c r="I48" i="13"/>
  <c r="H48" i="13"/>
  <c r="AO47" i="13"/>
  <c r="AN47" i="13"/>
  <c r="AM47" i="13"/>
  <c r="AL47" i="13"/>
  <c r="AK47" i="13"/>
  <c r="AJ47" i="13"/>
  <c r="AI47" i="13"/>
  <c r="AH47" i="13"/>
  <c r="AG47" i="13"/>
  <c r="AF47" i="13"/>
  <c r="P47" i="13"/>
  <c r="O47" i="13"/>
  <c r="N47" i="13"/>
  <c r="M47" i="13"/>
  <c r="L47" i="13"/>
  <c r="K47" i="13"/>
  <c r="J47" i="13"/>
  <c r="I47" i="13"/>
  <c r="H47" i="13"/>
  <c r="AN46" i="13"/>
  <c r="AM46" i="13"/>
  <c r="AL46" i="13"/>
  <c r="AK46" i="13"/>
  <c r="AJ46" i="13"/>
  <c r="AI46" i="13"/>
  <c r="AH46" i="13"/>
  <c r="AG46" i="13"/>
  <c r="AF46" i="13"/>
  <c r="O46" i="13"/>
  <c r="N46" i="13"/>
  <c r="M46" i="13"/>
  <c r="L46" i="13"/>
  <c r="K46" i="13"/>
  <c r="J46" i="13"/>
  <c r="I46" i="13"/>
  <c r="H46" i="13"/>
  <c r="AM45" i="13"/>
  <c r="AL45" i="13"/>
  <c r="AK45" i="13"/>
  <c r="AJ45" i="13"/>
  <c r="AI45" i="13"/>
  <c r="AH45" i="13"/>
  <c r="AG45" i="13"/>
  <c r="AF45" i="13"/>
  <c r="N45" i="13"/>
  <c r="M45" i="13"/>
  <c r="L45" i="13"/>
  <c r="K45" i="13"/>
  <c r="J45" i="13"/>
  <c r="I45" i="13"/>
  <c r="H45" i="13"/>
  <c r="AL44" i="13"/>
  <c r="AK44" i="13"/>
  <c r="AJ44" i="13"/>
  <c r="AI44" i="13"/>
  <c r="AH44" i="13"/>
  <c r="AG44" i="13"/>
  <c r="AF44" i="13"/>
  <c r="M44" i="13"/>
  <c r="L44" i="13"/>
  <c r="K44" i="13"/>
  <c r="J44" i="13"/>
  <c r="I44" i="13"/>
  <c r="H44" i="13"/>
  <c r="AK43" i="13"/>
  <c r="AJ43" i="13"/>
  <c r="AI43" i="13"/>
  <c r="AH43" i="13"/>
  <c r="AG43" i="13"/>
  <c r="AF43" i="13"/>
  <c r="L43" i="13"/>
  <c r="K43" i="13"/>
  <c r="J43" i="13"/>
  <c r="I43" i="13"/>
  <c r="H43" i="13"/>
  <c r="AJ42" i="13"/>
  <c r="AI42" i="13"/>
  <c r="AH42" i="13"/>
  <c r="AG42" i="13"/>
  <c r="AF42" i="13"/>
  <c r="K42" i="13"/>
  <c r="J42" i="13"/>
  <c r="I42" i="13"/>
  <c r="H42" i="13"/>
  <c r="AI41" i="13"/>
  <c r="AH41" i="13"/>
  <c r="AG41" i="13"/>
  <c r="AF41" i="13"/>
  <c r="J41" i="13"/>
  <c r="I41" i="13"/>
  <c r="H41" i="13"/>
  <c r="AH40" i="13"/>
  <c r="AG40" i="13"/>
  <c r="AF40" i="13"/>
  <c r="I40" i="13"/>
  <c r="H40" i="13"/>
  <c r="AG39" i="13"/>
  <c r="AF39" i="13"/>
  <c r="H39" i="13"/>
  <c r="AF38" i="13"/>
  <c r="O37" i="13"/>
  <c r="Z13" i="13"/>
  <c r="Y13" i="13"/>
  <c r="X13" i="13"/>
  <c r="W13" i="13"/>
  <c r="V13" i="13"/>
  <c r="U13" i="13"/>
  <c r="T13" i="13"/>
  <c r="S13" i="13"/>
  <c r="R13" i="13"/>
  <c r="Q13" i="13"/>
  <c r="P13" i="13"/>
  <c r="O13" i="13"/>
  <c r="N13" i="13"/>
  <c r="M13" i="13"/>
  <c r="L13" i="13"/>
  <c r="K13" i="13"/>
  <c r="J13" i="13"/>
  <c r="I13" i="13"/>
  <c r="H13" i="13"/>
  <c r="G13" i="13"/>
  <c r="AD61" i="11" a="1"/>
  <c r="AD80" i="11"/>
  <c r="E61" i="11" a="1"/>
  <c r="E66" i="11"/>
  <c r="E69" i="11"/>
  <c r="E72" i="11"/>
  <c r="E79" i="11"/>
  <c r="AD34" i="11" a="1"/>
  <c r="AD34" i="11"/>
  <c r="AD40" i="11"/>
  <c r="E65" i="12"/>
  <c r="D65" i="12"/>
  <c r="G66" i="12"/>
  <c r="G67" i="12"/>
  <c r="H67" i="12"/>
  <c r="G68" i="12"/>
  <c r="H68" i="12"/>
  <c r="I68" i="12"/>
  <c r="G69" i="12"/>
  <c r="H69" i="12"/>
  <c r="I69" i="12"/>
  <c r="J69" i="12"/>
  <c r="G70" i="12"/>
  <c r="H70" i="12"/>
  <c r="I70" i="12"/>
  <c r="J70" i="12"/>
  <c r="K70" i="12"/>
  <c r="G71" i="12"/>
  <c r="H71" i="12"/>
  <c r="I71" i="12"/>
  <c r="J71" i="12"/>
  <c r="K71" i="12"/>
  <c r="L71" i="12"/>
  <c r="G72" i="12"/>
  <c r="H72" i="12"/>
  <c r="I72" i="12"/>
  <c r="J72" i="12"/>
  <c r="K72" i="12"/>
  <c r="L72" i="12"/>
  <c r="M72" i="12"/>
  <c r="G73" i="12"/>
  <c r="H73" i="12"/>
  <c r="I73" i="12"/>
  <c r="J73" i="12"/>
  <c r="K73" i="12"/>
  <c r="L73" i="12"/>
  <c r="M73" i="12"/>
  <c r="N73" i="12"/>
  <c r="G74" i="12"/>
  <c r="H74" i="12"/>
  <c r="I74" i="12"/>
  <c r="J74" i="12"/>
  <c r="K74" i="12"/>
  <c r="L74" i="12"/>
  <c r="M74" i="12"/>
  <c r="N74" i="12"/>
  <c r="O74" i="12"/>
  <c r="G75" i="12"/>
  <c r="H75" i="12"/>
  <c r="I75" i="12"/>
  <c r="J75" i="12"/>
  <c r="K75" i="12"/>
  <c r="L75" i="12"/>
  <c r="M75" i="12"/>
  <c r="N75" i="12"/>
  <c r="O75" i="12"/>
  <c r="P75" i="12"/>
  <c r="G76" i="12"/>
  <c r="H76" i="12"/>
  <c r="I76" i="12"/>
  <c r="J76" i="12"/>
  <c r="K76" i="12"/>
  <c r="L76" i="12"/>
  <c r="M76" i="12"/>
  <c r="N76" i="12"/>
  <c r="O76" i="12"/>
  <c r="P76" i="12"/>
  <c r="Q76" i="12"/>
  <c r="G77" i="12"/>
  <c r="H77" i="12"/>
  <c r="I77" i="12"/>
  <c r="J77" i="12"/>
  <c r="K77" i="12"/>
  <c r="L77" i="12"/>
  <c r="M77" i="12"/>
  <c r="N77" i="12"/>
  <c r="O77" i="12"/>
  <c r="P77" i="12"/>
  <c r="Q77" i="12"/>
  <c r="R77" i="12"/>
  <c r="G78" i="12"/>
  <c r="H78" i="12"/>
  <c r="I78" i="12"/>
  <c r="J78" i="12"/>
  <c r="K78" i="12"/>
  <c r="L78" i="12"/>
  <c r="M78" i="12"/>
  <c r="N78" i="12"/>
  <c r="O78" i="12"/>
  <c r="P78" i="12"/>
  <c r="Q78" i="12"/>
  <c r="R78" i="12"/>
  <c r="S78" i="12"/>
  <c r="G79" i="12"/>
  <c r="H79" i="12"/>
  <c r="I79" i="12"/>
  <c r="J79" i="12"/>
  <c r="K79" i="12"/>
  <c r="L79" i="12"/>
  <c r="M79" i="12"/>
  <c r="N79" i="12"/>
  <c r="O79" i="12"/>
  <c r="P79" i="12"/>
  <c r="Q79" i="12"/>
  <c r="R79" i="12"/>
  <c r="S79" i="12"/>
  <c r="T79" i="12"/>
  <c r="G80" i="12"/>
  <c r="H80" i="12"/>
  <c r="I80" i="12"/>
  <c r="J80" i="12"/>
  <c r="K80" i="12"/>
  <c r="L80" i="12"/>
  <c r="M80" i="12"/>
  <c r="N80" i="12"/>
  <c r="O80" i="12"/>
  <c r="P80" i="12"/>
  <c r="Q80" i="12"/>
  <c r="R80" i="12"/>
  <c r="S80" i="12"/>
  <c r="T80" i="12"/>
  <c r="U80" i="12"/>
  <c r="G81" i="12"/>
  <c r="H81" i="12"/>
  <c r="I81" i="12"/>
  <c r="J81" i="12"/>
  <c r="K81" i="12"/>
  <c r="L81" i="12"/>
  <c r="M81" i="12"/>
  <c r="N81" i="12"/>
  <c r="O81" i="12"/>
  <c r="P81" i="12"/>
  <c r="Q81" i="12"/>
  <c r="R81" i="12"/>
  <c r="S81" i="12"/>
  <c r="T81" i="12"/>
  <c r="U81" i="12"/>
  <c r="V81" i="12"/>
  <c r="G82" i="12"/>
  <c r="H82" i="12"/>
  <c r="I82" i="12"/>
  <c r="J82" i="12"/>
  <c r="K82" i="12"/>
  <c r="L82" i="12"/>
  <c r="M82" i="12"/>
  <c r="N82" i="12"/>
  <c r="O82" i="12"/>
  <c r="P82" i="12"/>
  <c r="Q82" i="12"/>
  <c r="R82" i="12"/>
  <c r="S82" i="12"/>
  <c r="T82" i="12"/>
  <c r="U82" i="12"/>
  <c r="V82" i="12"/>
  <c r="W82" i="12"/>
  <c r="G83" i="12"/>
  <c r="H83" i="12"/>
  <c r="I83" i="12"/>
  <c r="J83" i="12"/>
  <c r="K83" i="12"/>
  <c r="L83" i="12"/>
  <c r="M83" i="12"/>
  <c r="N83" i="12"/>
  <c r="O83" i="12"/>
  <c r="P83" i="12"/>
  <c r="Q83" i="12"/>
  <c r="R83" i="12"/>
  <c r="S83" i="12"/>
  <c r="T83" i="12"/>
  <c r="U83" i="12"/>
  <c r="V83" i="12"/>
  <c r="W83" i="12"/>
  <c r="X83" i="12"/>
  <c r="G84" i="12"/>
  <c r="H84" i="12"/>
  <c r="I84" i="12"/>
  <c r="J84" i="12"/>
  <c r="K84" i="12"/>
  <c r="L84" i="12"/>
  <c r="M84" i="12"/>
  <c r="N84" i="12"/>
  <c r="O84" i="12"/>
  <c r="P84" i="12"/>
  <c r="Q84" i="12"/>
  <c r="R84" i="12"/>
  <c r="S84" i="12"/>
  <c r="T84" i="12"/>
  <c r="U84" i="12"/>
  <c r="V84" i="12"/>
  <c r="W84" i="12"/>
  <c r="X84" i="12"/>
  <c r="Y84" i="12"/>
  <c r="G85" i="12"/>
  <c r="H85" i="12"/>
  <c r="I85" i="12"/>
  <c r="J85" i="12"/>
  <c r="K85" i="12"/>
  <c r="L85" i="12"/>
  <c r="M85" i="12"/>
  <c r="N85" i="12"/>
  <c r="O85" i="12"/>
  <c r="P85" i="12"/>
  <c r="Q85" i="12"/>
  <c r="R85" i="12"/>
  <c r="S85" i="12"/>
  <c r="T85" i="12"/>
  <c r="U85" i="12"/>
  <c r="V85" i="12"/>
  <c r="W85" i="12"/>
  <c r="X85" i="12"/>
  <c r="Y85" i="12"/>
  <c r="Z85" i="12"/>
  <c r="E34" i="12"/>
  <c r="U34" i="12"/>
  <c r="AY85" i="12"/>
  <c r="AX85" i="12"/>
  <c r="AW85" i="12"/>
  <c r="AV85" i="12"/>
  <c r="AU85" i="12"/>
  <c r="AT85" i="12"/>
  <c r="AS85" i="12"/>
  <c r="AR85" i="12"/>
  <c r="AQ85" i="12"/>
  <c r="AP85" i="12"/>
  <c r="AO85" i="12"/>
  <c r="AN85" i="12"/>
  <c r="AM85" i="12"/>
  <c r="AL85" i="12"/>
  <c r="AK85" i="12"/>
  <c r="AJ85" i="12"/>
  <c r="AI85" i="12"/>
  <c r="AH85" i="12"/>
  <c r="AG85" i="12"/>
  <c r="AF85" i="12"/>
  <c r="AX84" i="12"/>
  <c r="AW84" i="12"/>
  <c r="AV84" i="12"/>
  <c r="AU84" i="12"/>
  <c r="AT84" i="12"/>
  <c r="AS84" i="12"/>
  <c r="AR84" i="12"/>
  <c r="AQ84" i="12"/>
  <c r="AP84" i="12"/>
  <c r="AO84" i="12"/>
  <c r="AN84" i="12"/>
  <c r="AM84" i="12"/>
  <c r="AL84" i="12"/>
  <c r="AK84" i="12"/>
  <c r="AJ84" i="12"/>
  <c r="AI84" i="12"/>
  <c r="AH84" i="12"/>
  <c r="AG84" i="12"/>
  <c r="AF84" i="12"/>
  <c r="AW83" i="12"/>
  <c r="AV83" i="12"/>
  <c r="AU83" i="12"/>
  <c r="AT83" i="12"/>
  <c r="AS83" i="12"/>
  <c r="AR83" i="12"/>
  <c r="AQ83" i="12"/>
  <c r="AP83" i="12"/>
  <c r="AO83" i="12"/>
  <c r="AN83" i="12"/>
  <c r="AM83" i="12"/>
  <c r="AL83" i="12"/>
  <c r="AK83" i="12"/>
  <c r="AJ83" i="12"/>
  <c r="AI83" i="12"/>
  <c r="AH83" i="12"/>
  <c r="AG83" i="12"/>
  <c r="AF83" i="12"/>
  <c r="AV82" i="12"/>
  <c r="AU82" i="12"/>
  <c r="AT82" i="12"/>
  <c r="AS82" i="12"/>
  <c r="AR82" i="12"/>
  <c r="AQ82" i="12"/>
  <c r="AP82" i="12"/>
  <c r="AO82" i="12"/>
  <c r="AN82" i="12"/>
  <c r="AM82" i="12"/>
  <c r="AL82" i="12"/>
  <c r="AK82" i="12"/>
  <c r="AJ82" i="12"/>
  <c r="AI82" i="12"/>
  <c r="AH82" i="12"/>
  <c r="AG82" i="12"/>
  <c r="AF82" i="12"/>
  <c r="AU81" i="12"/>
  <c r="AT81" i="12"/>
  <c r="AS81" i="12"/>
  <c r="AR81" i="12"/>
  <c r="AQ81" i="12"/>
  <c r="AP81" i="12"/>
  <c r="AO81" i="12"/>
  <c r="AN81" i="12"/>
  <c r="AM81" i="12"/>
  <c r="AL81" i="12"/>
  <c r="AK81" i="12"/>
  <c r="AJ81" i="12"/>
  <c r="AI81" i="12"/>
  <c r="AH81" i="12"/>
  <c r="AG81" i="12"/>
  <c r="AF81" i="12"/>
  <c r="AT80" i="12"/>
  <c r="AS80" i="12"/>
  <c r="AR80" i="12"/>
  <c r="AQ80" i="12"/>
  <c r="AP80" i="12"/>
  <c r="AO80" i="12"/>
  <c r="AN80" i="12"/>
  <c r="AM80" i="12"/>
  <c r="AL80" i="12"/>
  <c r="AK80" i="12"/>
  <c r="AJ80" i="12"/>
  <c r="AI80" i="12"/>
  <c r="AH80" i="12"/>
  <c r="AG80" i="12"/>
  <c r="AF80" i="12"/>
  <c r="AS79" i="12"/>
  <c r="AR79" i="12"/>
  <c r="AQ79" i="12"/>
  <c r="AP79" i="12"/>
  <c r="AO79" i="12"/>
  <c r="AN79" i="12"/>
  <c r="AM79" i="12"/>
  <c r="AL79" i="12"/>
  <c r="AK79" i="12"/>
  <c r="AJ79" i="12"/>
  <c r="AI79" i="12"/>
  <c r="AH79" i="12"/>
  <c r="AG79" i="12"/>
  <c r="AF79" i="12"/>
  <c r="AR78" i="12"/>
  <c r="AQ78" i="12"/>
  <c r="AP78" i="12"/>
  <c r="AO78" i="12"/>
  <c r="AN78" i="12"/>
  <c r="AM78" i="12"/>
  <c r="AL78" i="12"/>
  <c r="AK78" i="12"/>
  <c r="AJ78" i="12"/>
  <c r="AI78" i="12"/>
  <c r="AH78" i="12"/>
  <c r="AG78" i="12"/>
  <c r="AF78" i="12"/>
  <c r="AQ77" i="12"/>
  <c r="AP77" i="12"/>
  <c r="AO77" i="12"/>
  <c r="AN77" i="12"/>
  <c r="AM77" i="12"/>
  <c r="AL77" i="12"/>
  <c r="AK77" i="12"/>
  <c r="AJ77" i="12"/>
  <c r="AI77" i="12"/>
  <c r="AH77" i="12"/>
  <c r="AG77" i="12"/>
  <c r="AF77" i="12"/>
  <c r="AP76" i="12"/>
  <c r="AO76" i="12"/>
  <c r="AN76" i="12"/>
  <c r="AM76" i="12"/>
  <c r="AL76" i="12"/>
  <c r="AK76" i="12"/>
  <c r="AJ76" i="12"/>
  <c r="AI76" i="12"/>
  <c r="AH76" i="12"/>
  <c r="AG76" i="12"/>
  <c r="AF76" i="12"/>
  <c r="AO75" i="12"/>
  <c r="AN75" i="12"/>
  <c r="AM75" i="12"/>
  <c r="AL75" i="12"/>
  <c r="AK75" i="12"/>
  <c r="AJ75" i="12"/>
  <c r="AI75" i="12"/>
  <c r="AH75" i="12"/>
  <c r="AG75" i="12"/>
  <c r="AF75" i="12"/>
  <c r="AN74" i="12"/>
  <c r="AM74" i="12"/>
  <c r="AL74" i="12"/>
  <c r="AK74" i="12"/>
  <c r="AJ74" i="12"/>
  <c r="AI74" i="12"/>
  <c r="AH74" i="12"/>
  <c r="AG74" i="12"/>
  <c r="AF74" i="12"/>
  <c r="AM73" i="12"/>
  <c r="AL73" i="12"/>
  <c r="AK73" i="12"/>
  <c r="AJ73" i="12"/>
  <c r="AI73" i="12"/>
  <c r="AH73" i="12"/>
  <c r="AG73" i="12"/>
  <c r="AF73" i="12"/>
  <c r="AL72" i="12"/>
  <c r="AK72" i="12"/>
  <c r="AJ72" i="12"/>
  <c r="AI72" i="12"/>
  <c r="AH72" i="12"/>
  <c r="AG72" i="12"/>
  <c r="AF72" i="12"/>
  <c r="AK71" i="12"/>
  <c r="AJ71" i="12"/>
  <c r="AI71" i="12"/>
  <c r="AH71" i="12"/>
  <c r="AG71" i="12"/>
  <c r="AF71" i="12"/>
  <c r="AJ70" i="12"/>
  <c r="AI70" i="12"/>
  <c r="AH70" i="12"/>
  <c r="AG70" i="12"/>
  <c r="AF70" i="12"/>
  <c r="AI69" i="12"/>
  <c r="AH69" i="12"/>
  <c r="AG69" i="12"/>
  <c r="AF69" i="12"/>
  <c r="AH68" i="12"/>
  <c r="AG68" i="12"/>
  <c r="AF68" i="12"/>
  <c r="AG67" i="12"/>
  <c r="AF67" i="12"/>
  <c r="AF66" i="12"/>
  <c r="G35" i="12"/>
  <c r="G36" i="12"/>
  <c r="H36" i="12"/>
  <c r="G37" i="12"/>
  <c r="H37" i="12"/>
  <c r="I37" i="12"/>
  <c r="G38" i="12"/>
  <c r="H38" i="12"/>
  <c r="I38" i="12"/>
  <c r="J38" i="12"/>
  <c r="G39" i="12"/>
  <c r="H39" i="12"/>
  <c r="I39" i="12"/>
  <c r="J39" i="12"/>
  <c r="K39" i="12"/>
  <c r="G40" i="12"/>
  <c r="H40" i="12"/>
  <c r="I40" i="12"/>
  <c r="J40" i="12"/>
  <c r="K40" i="12"/>
  <c r="L40" i="12"/>
  <c r="G41" i="12"/>
  <c r="H41" i="12"/>
  <c r="I41" i="12"/>
  <c r="J41" i="12"/>
  <c r="K41" i="12"/>
  <c r="L41" i="12"/>
  <c r="M41" i="12"/>
  <c r="G42" i="12"/>
  <c r="H42" i="12"/>
  <c r="I42" i="12"/>
  <c r="J42" i="12"/>
  <c r="K42" i="12"/>
  <c r="L42" i="12"/>
  <c r="M42" i="12"/>
  <c r="N42" i="12"/>
  <c r="G43" i="12"/>
  <c r="H43" i="12"/>
  <c r="I43" i="12"/>
  <c r="J43" i="12"/>
  <c r="K43" i="12"/>
  <c r="L43" i="12"/>
  <c r="M43" i="12"/>
  <c r="N43" i="12"/>
  <c r="O43" i="12"/>
  <c r="G44" i="12"/>
  <c r="H44" i="12"/>
  <c r="I44" i="12"/>
  <c r="J44" i="12"/>
  <c r="K44" i="12"/>
  <c r="L44" i="12"/>
  <c r="M44" i="12"/>
  <c r="N44" i="12"/>
  <c r="O44" i="12"/>
  <c r="P44" i="12"/>
  <c r="G45" i="12"/>
  <c r="H45" i="12"/>
  <c r="I45" i="12"/>
  <c r="J45" i="12"/>
  <c r="K45" i="12"/>
  <c r="L45" i="12"/>
  <c r="M45" i="12"/>
  <c r="N45" i="12"/>
  <c r="O45" i="12"/>
  <c r="P45" i="12"/>
  <c r="Q45" i="12"/>
  <c r="G46" i="12"/>
  <c r="H46" i="12"/>
  <c r="I46" i="12"/>
  <c r="J46" i="12"/>
  <c r="K46" i="12"/>
  <c r="L46" i="12"/>
  <c r="M46" i="12"/>
  <c r="N46" i="12"/>
  <c r="O46" i="12"/>
  <c r="P46" i="12"/>
  <c r="Q46" i="12"/>
  <c r="R46" i="12"/>
  <c r="G47" i="12"/>
  <c r="H47" i="12"/>
  <c r="I47" i="12"/>
  <c r="J47" i="12"/>
  <c r="K47" i="12"/>
  <c r="L47" i="12"/>
  <c r="M47" i="12"/>
  <c r="N47" i="12"/>
  <c r="O47" i="12"/>
  <c r="P47" i="12"/>
  <c r="Q47" i="12"/>
  <c r="R47" i="12"/>
  <c r="S47" i="12"/>
  <c r="G48" i="12"/>
  <c r="H48" i="12"/>
  <c r="I48" i="12"/>
  <c r="J48" i="12"/>
  <c r="K48" i="12"/>
  <c r="L48" i="12"/>
  <c r="M48" i="12"/>
  <c r="N48" i="12"/>
  <c r="O48" i="12"/>
  <c r="P48" i="12"/>
  <c r="Q48" i="12"/>
  <c r="R48" i="12"/>
  <c r="S48" i="12"/>
  <c r="T48" i="12"/>
  <c r="G49" i="12"/>
  <c r="H49" i="12"/>
  <c r="I49" i="12"/>
  <c r="J49" i="12"/>
  <c r="K49" i="12"/>
  <c r="L49" i="12"/>
  <c r="M49" i="12"/>
  <c r="N49" i="12"/>
  <c r="O49" i="12"/>
  <c r="P49" i="12"/>
  <c r="Q49" i="12"/>
  <c r="R49" i="12"/>
  <c r="S49" i="12"/>
  <c r="T49" i="12"/>
  <c r="U49" i="12"/>
  <c r="G50" i="12"/>
  <c r="H50" i="12"/>
  <c r="I50" i="12"/>
  <c r="J50" i="12"/>
  <c r="K50" i="12"/>
  <c r="L50" i="12"/>
  <c r="M50" i="12"/>
  <c r="N50" i="12"/>
  <c r="O50" i="12"/>
  <c r="P50" i="12"/>
  <c r="Q50" i="12"/>
  <c r="R50" i="12"/>
  <c r="S50" i="12"/>
  <c r="T50" i="12"/>
  <c r="U50" i="12"/>
  <c r="V50" i="12"/>
  <c r="G51" i="12"/>
  <c r="H51" i="12"/>
  <c r="I51" i="12"/>
  <c r="J51" i="12"/>
  <c r="K51" i="12"/>
  <c r="L51" i="12"/>
  <c r="M51" i="12"/>
  <c r="N51" i="12"/>
  <c r="O51" i="12"/>
  <c r="P51" i="12"/>
  <c r="Q51" i="12"/>
  <c r="R51" i="12"/>
  <c r="S51" i="12"/>
  <c r="T51" i="12"/>
  <c r="U51" i="12"/>
  <c r="V51" i="12"/>
  <c r="W51" i="12"/>
  <c r="G52" i="12"/>
  <c r="H52" i="12"/>
  <c r="I52" i="12"/>
  <c r="J52" i="12"/>
  <c r="K52" i="12"/>
  <c r="L52" i="12"/>
  <c r="M52" i="12"/>
  <c r="N52" i="12"/>
  <c r="O52" i="12"/>
  <c r="P52" i="12"/>
  <c r="Q52" i="12"/>
  <c r="R52" i="12"/>
  <c r="S52" i="12"/>
  <c r="T52" i="12"/>
  <c r="U52" i="12"/>
  <c r="V52" i="12"/>
  <c r="W52" i="12"/>
  <c r="X52" i="12"/>
  <c r="G53" i="12"/>
  <c r="H53" i="12"/>
  <c r="I53" i="12"/>
  <c r="J53" i="12"/>
  <c r="K53" i="12"/>
  <c r="L53" i="12"/>
  <c r="M53" i="12"/>
  <c r="N53" i="12"/>
  <c r="O53" i="12"/>
  <c r="P53" i="12"/>
  <c r="Q53" i="12"/>
  <c r="R53" i="12"/>
  <c r="S53" i="12"/>
  <c r="T53" i="12"/>
  <c r="U53" i="12"/>
  <c r="V53" i="12"/>
  <c r="W53" i="12"/>
  <c r="X53" i="12"/>
  <c r="Y53" i="12"/>
  <c r="G54" i="12"/>
  <c r="H54" i="12"/>
  <c r="I54" i="12"/>
  <c r="J54" i="12"/>
  <c r="K54" i="12"/>
  <c r="L54" i="12"/>
  <c r="M54" i="12"/>
  <c r="N54" i="12"/>
  <c r="O54" i="12"/>
  <c r="P54" i="12"/>
  <c r="Q54" i="12"/>
  <c r="R54" i="12"/>
  <c r="S54" i="12"/>
  <c r="T54" i="12"/>
  <c r="U54" i="12"/>
  <c r="V54" i="12"/>
  <c r="W54" i="12"/>
  <c r="X54" i="12"/>
  <c r="Y54" i="12"/>
  <c r="Z54" i="12"/>
  <c r="AF54" i="12"/>
  <c r="AG54" i="12"/>
  <c r="AH54" i="12"/>
  <c r="AI54" i="12"/>
  <c r="AJ54" i="12"/>
  <c r="AK54" i="12"/>
  <c r="AL54" i="12"/>
  <c r="AM54" i="12"/>
  <c r="AN54" i="12"/>
  <c r="AO54" i="12"/>
  <c r="AP54" i="12"/>
  <c r="AQ54" i="12"/>
  <c r="AR54" i="12"/>
  <c r="AS54" i="12"/>
  <c r="AT54" i="12"/>
  <c r="AU54" i="12"/>
  <c r="AV54" i="12"/>
  <c r="AW54" i="12"/>
  <c r="AX54" i="12"/>
  <c r="AY54" i="12"/>
  <c r="AF35" i="12"/>
  <c r="AF36" i="12"/>
  <c r="AG36" i="12"/>
  <c r="AF37" i="12"/>
  <c r="AG37" i="12"/>
  <c r="AH37" i="12"/>
  <c r="AF38" i="12"/>
  <c r="AG38" i="12"/>
  <c r="AH38" i="12"/>
  <c r="AI38" i="12"/>
  <c r="AF39" i="12"/>
  <c r="AG39" i="12"/>
  <c r="AH39" i="12"/>
  <c r="AI39" i="12"/>
  <c r="AJ39" i="12"/>
  <c r="AF40" i="12"/>
  <c r="AG40" i="12"/>
  <c r="AH40" i="12"/>
  <c r="AI40" i="12"/>
  <c r="AJ40" i="12"/>
  <c r="AK40" i="12"/>
  <c r="AF41" i="12"/>
  <c r="AG41" i="12"/>
  <c r="AH41" i="12"/>
  <c r="AI41" i="12"/>
  <c r="AJ41" i="12"/>
  <c r="AK41" i="12"/>
  <c r="AL41" i="12"/>
  <c r="AF42" i="12"/>
  <c r="AG42" i="12"/>
  <c r="AH42" i="12"/>
  <c r="AI42" i="12"/>
  <c r="AJ42" i="12"/>
  <c r="AK42" i="12"/>
  <c r="AL42" i="12"/>
  <c r="AM42" i="12"/>
  <c r="AF43" i="12"/>
  <c r="AG43" i="12"/>
  <c r="AH43" i="12"/>
  <c r="AI43" i="12"/>
  <c r="AJ43" i="12"/>
  <c r="AK43" i="12"/>
  <c r="AL43" i="12"/>
  <c r="AM43" i="12"/>
  <c r="AN43" i="12"/>
  <c r="AF44" i="12"/>
  <c r="AG44" i="12"/>
  <c r="AH44" i="12"/>
  <c r="AI44" i="12"/>
  <c r="AJ44" i="12"/>
  <c r="AK44" i="12"/>
  <c r="AL44" i="12"/>
  <c r="AM44" i="12"/>
  <c r="AN44" i="12"/>
  <c r="AO44" i="12"/>
  <c r="AF45" i="12"/>
  <c r="AG45" i="12"/>
  <c r="AH45" i="12"/>
  <c r="AI45" i="12"/>
  <c r="AJ45" i="12"/>
  <c r="AK45" i="12"/>
  <c r="AL45" i="12"/>
  <c r="AM45" i="12"/>
  <c r="AN45" i="12"/>
  <c r="AO45" i="12"/>
  <c r="AP45" i="12"/>
  <c r="AF46" i="12"/>
  <c r="AG46" i="12"/>
  <c r="AH46" i="12"/>
  <c r="AI46" i="12"/>
  <c r="AJ46" i="12"/>
  <c r="AK46" i="12"/>
  <c r="AL46" i="12"/>
  <c r="AM46" i="12"/>
  <c r="AN46" i="12"/>
  <c r="AO46" i="12"/>
  <c r="AP46" i="12"/>
  <c r="AQ46" i="12"/>
  <c r="AF47" i="12"/>
  <c r="AG47" i="12"/>
  <c r="AH47" i="12"/>
  <c r="AI47" i="12"/>
  <c r="AJ47" i="12"/>
  <c r="AK47" i="12"/>
  <c r="AL47" i="12"/>
  <c r="AM47" i="12"/>
  <c r="AN47" i="12"/>
  <c r="AO47" i="12"/>
  <c r="AP47" i="12"/>
  <c r="AQ47" i="12"/>
  <c r="AR47" i="12"/>
  <c r="AF48" i="12"/>
  <c r="AG48" i="12"/>
  <c r="AH48" i="12"/>
  <c r="AI48" i="12"/>
  <c r="AJ48" i="12"/>
  <c r="AK48" i="12"/>
  <c r="AL48" i="12"/>
  <c r="AM48" i="12"/>
  <c r="AN48" i="12"/>
  <c r="AO48" i="12"/>
  <c r="AP48" i="12"/>
  <c r="AQ48" i="12"/>
  <c r="AR48" i="12"/>
  <c r="AS48" i="12"/>
  <c r="AF49" i="12"/>
  <c r="AG49" i="12"/>
  <c r="AH49" i="12"/>
  <c r="AI49" i="12"/>
  <c r="AJ49" i="12"/>
  <c r="AK49" i="12"/>
  <c r="AL49" i="12"/>
  <c r="AM49" i="12"/>
  <c r="AN49" i="12"/>
  <c r="AO49" i="12"/>
  <c r="AP49" i="12"/>
  <c r="AQ49" i="12"/>
  <c r="AR49" i="12"/>
  <c r="AS49" i="12"/>
  <c r="AT49" i="12"/>
  <c r="AF50" i="12"/>
  <c r="AG50" i="12"/>
  <c r="AH50" i="12"/>
  <c r="AI50" i="12"/>
  <c r="AJ50" i="12"/>
  <c r="AK50" i="12"/>
  <c r="AL50" i="12"/>
  <c r="AM50" i="12"/>
  <c r="AN50" i="12"/>
  <c r="AO50" i="12"/>
  <c r="AP50" i="12"/>
  <c r="AQ50" i="12"/>
  <c r="AR50" i="12"/>
  <c r="AS50" i="12"/>
  <c r="AT50" i="12"/>
  <c r="AU50" i="12"/>
  <c r="AF51" i="12"/>
  <c r="AG51" i="12"/>
  <c r="AH51" i="12"/>
  <c r="AI51" i="12"/>
  <c r="AJ51" i="12"/>
  <c r="AK51" i="12"/>
  <c r="AL51" i="12"/>
  <c r="AM51" i="12"/>
  <c r="AN51" i="12"/>
  <c r="AO51" i="12"/>
  <c r="AP51" i="12"/>
  <c r="AQ51" i="12"/>
  <c r="AR51" i="12"/>
  <c r="AS51" i="12"/>
  <c r="AT51" i="12"/>
  <c r="AU51" i="12"/>
  <c r="AV51" i="12"/>
  <c r="AF52" i="12"/>
  <c r="AG52" i="12"/>
  <c r="AH52" i="12"/>
  <c r="AI52" i="12"/>
  <c r="AJ52" i="12"/>
  <c r="AK52" i="12"/>
  <c r="AL52" i="12"/>
  <c r="AM52" i="12"/>
  <c r="AN52" i="12"/>
  <c r="AO52" i="12"/>
  <c r="AP52" i="12"/>
  <c r="AQ52" i="12"/>
  <c r="AR52" i="12"/>
  <c r="AS52" i="12"/>
  <c r="AT52" i="12"/>
  <c r="AU52" i="12"/>
  <c r="AV52" i="12"/>
  <c r="AW52" i="12"/>
  <c r="AF53" i="12"/>
  <c r="AG53" i="12"/>
  <c r="AH53" i="12"/>
  <c r="AI53" i="12"/>
  <c r="AJ53" i="12"/>
  <c r="AK53" i="12"/>
  <c r="AL53" i="12"/>
  <c r="AM53" i="12"/>
  <c r="AN53" i="12"/>
  <c r="AO53" i="12"/>
  <c r="AP53" i="12"/>
  <c r="AQ53" i="12"/>
  <c r="AR53" i="12"/>
  <c r="AS53" i="12"/>
  <c r="AT53" i="12"/>
  <c r="AU53" i="12"/>
  <c r="AV53" i="12"/>
  <c r="AW53" i="12"/>
  <c r="AX53" i="12"/>
  <c r="AF35" i="11"/>
  <c r="AF36" i="11"/>
  <c r="AG36" i="11"/>
  <c r="AF37" i="11"/>
  <c r="AG37" i="11"/>
  <c r="AH37" i="11"/>
  <c r="AF38" i="11"/>
  <c r="AG38" i="11"/>
  <c r="AH38" i="11"/>
  <c r="AI38" i="11"/>
  <c r="AF39" i="11"/>
  <c r="AG39" i="11"/>
  <c r="AH39" i="11"/>
  <c r="AI39" i="11"/>
  <c r="AJ39" i="11"/>
  <c r="AF40" i="11"/>
  <c r="AG40" i="11"/>
  <c r="AH40" i="11"/>
  <c r="AI40" i="11"/>
  <c r="AJ40" i="11"/>
  <c r="AK40" i="11"/>
  <c r="AF41" i="11"/>
  <c r="AG41" i="11"/>
  <c r="AH41" i="11"/>
  <c r="AI41" i="11"/>
  <c r="AJ41" i="11"/>
  <c r="AK41" i="11"/>
  <c r="AL41" i="11"/>
  <c r="AF42" i="11"/>
  <c r="AG42" i="11"/>
  <c r="AH42" i="11"/>
  <c r="AI42" i="11"/>
  <c r="AJ42" i="11"/>
  <c r="AK42" i="11"/>
  <c r="AL42" i="11"/>
  <c r="AM42" i="11"/>
  <c r="AF43" i="11"/>
  <c r="AG43" i="11"/>
  <c r="AH43" i="11"/>
  <c r="AI43" i="11"/>
  <c r="AJ43" i="11"/>
  <c r="AK43" i="11"/>
  <c r="AL43" i="11"/>
  <c r="AM43" i="11"/>
  <c r="AN43" i="11"/>
  <c r="AF44" i="11"/>
  <c r="AG44" i="11"/>
  <c r="AH44" i="11"/>
  <c r="AI44" i="11"/>
  <c r="AJ44" i="11"/>
  <c r="AK44" i="11"/>
  <c r="AL44" i="11"/>
  <c r="AM44" i="11"/>
  <c r="AN44" i="11"/>
  <c r="AO44" i="11"/>
  <c r="AF45" i="11"/>
  <c r="AG45" i="11"/>
  <c r="AH45" i="11"/>
  <c r="AI45" i="11"/>
  <c r="AJ45" i="11"/>
  <c r="AK45" i="11"/>
  <c r="AL45" i="11"/>
  <c r="AM45" i="11"/>
  <c r="AN45" i="11"/>
  <c r="AO45" i="11"/>
  <c r="AP45" i="11"/>
  <c r="AF46" i="11"/>
  <c r="AG46" i="11"/>
  <c r="AH46" i="11"/>
  <c r="AI46" i="11"/>
  <c r="AJ46" i="11"/>
  <c r="AK46" i="11"/>
  <c r="AL46" i="11"/>
  <c r="AM46" i="11"/>
  <c r="AN46" i="11"/>
  <c r="AO46" i="11"/>
  <c r="AP46" i="11"/>
  <c r="AQ46" i="11"/>
  <c r="AF47" i="11"/>
  <c r="AG47" i="11"/>
  <c r="AH47" i="11"/>
  <c r="AI47" i="11"/>
  <c r="AJ47" i="11"/>
  <c r="AK47" i="11"/>
  <c r="AL47" i="11"/>
  <c r="AM47" i="11"/>
  <c r="AN47" i="11"/>
  <c r="AO47" i="11"/>
  <c r="AP47" i="11"/>
  <c r="AQ47" i="11"/>
  <c r="AR47" i="11"/>
  <c r="AF48" i="11"/>
  <c r="AG48" i="11"/>
  <c r="AH48" i="11"/>
  <c r="AI48" i="11"/>
  <c r="AJ48" i="11"/>
  <c r="AK48" i="11"/>
  <c r="AL48" i="11"/>
  <c r="AM48" i="11"/>
  <c r="AN48" i="11"/>
  <c r="AO48" i="11"/>
  <c r="AP48" i="11"/>
  <c r="AQ48" i="11"/>
  <c r="AR48" i="11"/>
  <c r="AS48" i="11"/>
  <c r="AF49" i="11"/>
  <c r="AG49" i="11"/>
  <c r="AH49" i="11"/>
  <c r="AI49" i="11"/>
  <c r="AJ49" i="11"/>
  <c r="AK49" i="11"/>
  <c r="AL49" i="11"/>
  <c r="AM49" i="11"/>
  <c r="AN49" i="11"/>
  <c r="AO49" i="11"/>
  <c r="AP49" i="11"/>
  <c r="AQ49" i="11"/>
  <c r="AR49" i="11"/>
  <c r="AS49" i="11"/>
  <c r="AT49" i="11"/>
  <c r="AF50" i="11"/>
  <c r="AG50" i="11"/>
  <c r="AH50" i="11"/>
  <c r="AI50" i="11"/>
  <c r="AJ50" i="11"/>
  <c r="AK50" i="11"/>
  <c r="AL50" i="11"/>
  <c r="AM50" i="11"/>
  <c r="AN50" i="11"/>
  <c r="AO50" i="11"/>
  <c r="AP50" i="11"/>
  <c r="AQ50" i="11"/>
  <c r="AR50" i="11"/>
  <c r="AS50" i="11"/>
  <c r="AT50" i="11"/>
  <c r="AU50" i="11"/>
  <c r="AF51" i="11"/>
  <c r="AG51" i="11"/>
  <c r="AH51" i="11"/>
  <c r="AI51" i="11"/>
  <c r="AJ51" i="11"/>
  <c r="AK51" i="11"/>
  <c r="AL51" i="11"/>
  <c r="AM51" i="11"/>
  <c r="AN51" i="11"/>
  <c r="AO51" i="11"/>
  <c r="AP51" i="11"/>
  <c r="AQ51" i="11"/>
  <c r="AR51" i="11"/>
  <c r="AS51" i="11"/>
  <c r="AT51" i="11"/>
  <c r="AU51" i="11"/>
  <c r="AV51" i="11"/>
  <c r="AF52" i="11"/>
  <c r="AG52" i="11"/>
  <c r="AH52" i="11"/>
  <c r="AI52" i="11"/>
  <c r="AJ52" i="11"/>
  <c r="AK52" i="11"/>
  <c r="AL52" i="11"/>
  <c r="AM52" i="11"/>
  <c r="AN52" i="11"/>
  <c r="AO52" i="11"/>
  <c r="AP52" i="11"/>
  <c r="AQ52" i="11"/>
  <c r="AR52" i="11"/>
  <c r="AS52" i="11"/>
  <c r="AT52" i="11"/>
  <c r="AU52" i="11"/>
  <c r="AV52" i="11"/>
  <c r="AW52" i="11"/>
  <c r="AF53" i="11"/>
  <c r="AG53" i="11"/>
  <c r="AH53" i="11"/>
  <c r="AI53" i="11"/>
  <c r="AJ53" i="11"/>
  <c r="AK53" i="11"/>
  <c r="AL53" i="11"/>
  <c r="AM53" i="11"/>
  <c r="AN53" i="11"/>
  <c r="AO53" i="11"/>
  <c r="AP53" i="11"/>
  <c r="AQ53" i="11"/>
  <c r="AR53" i="11"/>
  <c r="AS53" i="11"/>
  <c r="AT53" i="11"/>
  <c r="AU53" i="11"/>
  <c r="AV53" i="11"/>
  <c r="AW53" i="11"/>
  <c r="AX53" i="11"/>
  <c r="AF54" i="11"/>
  <c r="AG54" i="11"/>
  <c r="AH54" i="11"/>
  <c r="AI54" i="11"/>
  <c r="AJ54" i="11"/>
  <c r="AK54" i="11"/>
  <c r="AL54" i="11"/>
  <c r="AM54" i="11"/>
  <c r="AN54" i="11"/>
  <c r="AO54" i="11"/>
  <c r="AP54" i="11"/>
  <c r="AQ54" i="11"/>
  <c r="AR54" i="11"/>
  <c r="AS54" i="11"/>
  <c r="AT54" i="11"/>
  <c r="AU54" i="11"/>
  <c r="AV54" i="11"/>
  <c r="AW54" i="11"/>
  <c r="AX54" i="11"/>
  <c r="AY54" i="11"/>
  <c r="G35" i="11"/>
  <c r="H35" i="11"/>
  <c r="I35" i="11"/>
  <c r="I34" i="11"/>
  <c r="I36" i="11"/>
  <c r="I37" i="11"/>
  <c r="I38" i="11"/>
  <c r="I39" i="11"/>
  <c r="I40" i="11"/>
  <c r="I41" i="11"/>
  <c r="I42" i="11"/>
  <c r="I43" i="11"/>
  <c r="I44" i="11"/>
  <c r="I45" i="11"/>
  <c r="I46" i="11"/>
  <c r="I47" i="11"/>
  <c r="I48" i="11"/>
  <c r="I49" i="11"/>
  <c r="I50" i="11"/>
  <c r="I51" i="11"/>
  <c r="I52" i="11"/>
  <c r="I53" i="11"/>
  <c r="I54" i="11"/>
  <c r="I55" i="11"/>
  <c r="J35" i="11"/>
  <c r="K35" i="11"/>
  <c r="L35" i="11"/>
  <c r="M35" i="11"/>
  <c r="N35" i="11"/>
  <c r="O35" i="11"/>
  <c r="P35" i="11"/>
  <c r="Q35" i="11"/>
  <c r="R35" i="11"/>
  <c r="S35" i="11"/>
  <c r="T35" i="11"/>
  <c r="U35" i="11"/>
  <c r="V35" i="11"/>
  <c r="W35" i="11"/>
  <c r="X35" i="11"/>
  <c r="Y35" i="11"/>
  <c r="Y34" i="11"/>
  <c r="Y36" i="11"/>
  <c r="Y37" i="11"/>
  <c r="Y38" i="11"/>
  <c r="Y39" i="11"/>
  <c r="Y40" i="11"/>
  <c r="Y41" i="11"/>
  <c r="Y42" i="11"/>
  <c r="Y43" i="11"/>
  <c r="Y44" i="11"/>
  <c r="Y45" i="11"/>
  <c r="Y46" i="11"/>
  <c r="Y47" i="11"/>
  <c r="Y48" i="11"/>
  <c r="Y49" i="11"/>
  <c r="Y50" i="11"/>
  <c r="Y51" i="11"/>
  <c r="Y52" i="11"/>
  <c r="Y53" i="11"/>
  <c r="Y54" i="11"/>
  <c r="Y55" i="11"/>
  <c r="Z35" i="11"/>
  <c r="AA35" i="11"/>
  <c r="G36" i="11"/>
  <c r="H36" i="11"/>
  <c r="J36" i="11"/>
  <c r="K36" i="11"/>
  <c r="L36" i="11"/>
  <c r="M36" i="11"/>
  <c r="N36" i="11"/>
  <c r="O36" i="11"/>
  <c r="P36" i="11"/>
  <c r="Q36" i="11"/>
  <c r="R36" i="11"/>
  <c r="S36" i="11"/>
  <c r="T36" i="11"/>
  <c r="U36" i="11"/>
  <c r="V36" i="11"/>
  <c r="W36" i="11"/>
  <c r="X36" i="11"/>
  <c r="Z36" i="11"/>
  <c r="AA36" i="11"/>
  <c r="G37" i="11"/>
  <c r="H37" i="11"/>
  <c r="J37" i="11"/>
  <c r="K37" i="11"/>
  <c r="L37" i="11"/>
  <c r="M37" i="11"/>
  <c r="N37" i="11"/>
  <c r="O37" i="11"/>
  <c r="P37" i="11"/>
  <c r="Q37" i="11"/>
  <c r="R37" i="11"/>
  <c r="S37" i="11"/>
  <c r="T37" i="11"/>
  <c r="U37" i="11"/>
  <c r="V37" i="11"/>
  <c r="W37" i="11"/>
  <c r="X37" i="11"/>
  <c r="Z37" i="11"/>
  <c r="AA37" i="11"/>
  <c r="G38" i="11"/>
  <c r="H38" i="11"/>
  <c r="J38" i="11"/>
  <c r="K38" i="11"/>
  <c r="L38" i="11"/>
  <c r="M38" i="11"/>
  <c r="N38" i="11"/>
  <c r="O38" i="11"/>
  <c r="P38" i="11"/>
  <c r="Q38" i="11"/>
  <c r="R38" i="11"/>
  <c r="S38" i="11"/>
  <c r="T38" i="11"/>
  <c r="U38" i="11"/>
  <c r="V38" i="11"/>
  <c r="W38" i="11"/>
  <c r="X38" i="11"/>
  <c r="Z38" i="11"/>
  <c r="AA38" i="11"/>
  <c r="G39" i="11"/>
  <c r="H39" i="11"/>
  <c r="J39" i="11"/>
  <c r="K39" i="11"/>
  <c r="L39" i="11"/>
  <c r="M39" i="11"/>
  <c r="N39" i="11"/>
  <c r="O39" i="11"/>
  <c r="P39" i="11"/>
  <c r="Q39" i="11"/>
  <c r="R39" i="11"/>
  <c r="S39" i="11"/>
  <c r="T39" i="11"/>
  <c r="U39" i="11"/>
  <c r="V39" i="11"/>
  <c r="W39" i="11"/>
  <c r="X39" i="11"/>
  <c r="Z39" i="11"/>
  <c r="AA39" i="11"/>
  <c r="G40" i="11"/>
  <c r="H40" i="11"/>
  <c r="J40" i="11"/>
  <c r="K40" i="11"/>
  <c r="L40" i="11"/>
  <c r="M40" i="11"/>
  <c r="N40" i="11"/>
  <c r="O40" i="11"/>
  <c r="P40" i="11"/>
  <c r="Q40" i="11"/>
  <c r="R40" i="11"/>
  <c r="S40" i="11"/>
  <c r="T40" i="11"/>
  <c r="U40" i="11"/>
  <c r="V40" i="11"/>
  <c r="W40" i="11"/>
  <c r="X40" i="11"/>
  <c r="Z40" i="11"/>
  <c r="AA40" i="11"/>
  <c r="G41" i="11"/>
  <c r="H41" i="11"/>
  <c r="J41" i="11"/>
  <c r="K41" i="11"/>
  <c r="L41" i="11"/>
  <c r="M41" i="11"/>
  <c r="N41" i="11"/>
  <c r="O41" i="11"/>
  <c r="P41" i="11"/>
  <c r="Q41" i="11"/>
  <c r="R41" i="11"/>
  <c r="S41" i="11"/>
  <c r="T41" i="11"/>
  <c r="U41" i="11"/>
  <c r="V41" i="11"/>
  <c r="W41" i="11"/>
  <c r="X41" i="11"/>
  <c r="Z41" i="11"/>
  <c r="AA41" i="11"/>
  <c r="G42" i="11"/>
  <c r="H42" i="11"/>
  <c r="J42" i="11"/>
  <c r="K42" i="11"/>
  <c r="L42" i="11"/>
  <c r="M42" i="11"/>
  <c r="N42" i="11"/>
  <c r="O42" i="11"/>
  <c r="P42" i="11"/>
  <c r="Q42" i="11"/>
  <c r="R42" i="11"/>
  <c r="S42" i="11"/>
  <c r="T42" i="11"/>
  <c r="U42" i="11"/>
  <c r="V42" i="11"/>
  <c r="W42" i="11"/>
  <c r="X42" i="11"/>
  <c r="Z42" i="11"/>
  <c r="AA42" i="11"/>
  <c r="G43" i="11"/>
  <c r="H43" i="11"/>
  <c r="J43" i="11"/>
  <c r="K43" i="11"/>
  <c r="L43" i="11"/>
  <c r="M43" i="11"/>
  <c r="N43" i="11"/>
  <c r="O43" i="11"/>
  <c r="P43" i="11"/>
  <c r="Q43" i="11"/>
  <c r="R43" i="11"/>
  <c r="S43" i="11"/>
  <c r="T43" i="11"/>
  <c r="U43" i="11"/>
  <c r="V43" i="11"/>
  <c r="W43" i="11"/>
  <c r="X43" i="11"/>
  <c r="Z43" i="11"/>
  <c r="AA43" i="11"/>
  <c r="G44" i="11"/>
  <c r="H44" i="11"/>
  <c r="J44" i="11"/>
  <c r="K44" i="11"/>
  <c r="L44" i="11"/>
  <c r="M44" i="11"/>
  <c r="N44" i="11"/>
  <c r="O44" i="11"/>
  <c r="P44" i="11"/>
  <c r="Q44" i="11"/>
  <c r="R44" i="11"/>
  <c r="S44" i="11"/>
  <c r="T44" i="11"/>
  <c r="U44" i="11"/>
  <c r="V44" i="11"/>
  <c r="W44" i="11"/>
  <c r="X44" i="11"/>
  <c r="Z44" i="11"/>
  <c r="AA44" i="11"/>
  <c r="G45" i="11"/>
  <c r="H45" i="11"/>
  <c r="J45" i="11"/>
  <c r="K45" i="11"/>
  <c r="L45" i="11"/>
  <c r="M45" i="11"/>
  <c r="N45" i="11"/>
  <c r="O45" i="11"/>
  <c r="P45" i="11"/>
  <c r="Q45" i="11"/>
  <c r="R45" i="11"/>
  <c r="S45" i="11"/>
  <c r="T45" i="11"/>
  <c r="U45" i="11"/>
  <c r="V45" i="11"/>
  <c r="W45" i="11"/>
  <c r="X45" i="11"/>
  <c r="Z45" i="11"/>
  <c r="AA45" i="11"/>
  <c r="G46" i="11"/>
  <c r="H46" i="11"/>
  <c r="J46" i="11"/>
  <c r="K46" i="11"/>
  <c r="L46" i="11"/>
  <c r="M46" i="11"/>
  <c r="N46" i="11"/>
  <c r="O46" i="11"/>
  <c r="P46" i="11"/>
  <c r="Q46" i="11"/>
  <c r="R46" i="11"/>
  <c r="S46" i="11"/>
  <c r="T46" i="11"/>
  <c r="U46" i="11"/>
  <c r="V46" i="11"/>
  <c r="W46" i="11"/>
  <c r="X46" i="11"/>
  <c r="Z46" i="11"/>
  <c r="AA46" i="11"/>
  <c r="G47" i="11"/>
  <c r="H47" i="11"/>
  <c r="J47" i="11"/>
  <c r="K47" i="11"/>
  <c r="L47" i="11"/>
  <c r="M47" i="11"/>
  <c r="N47" i="11"/>
  <c r="O47" i="11"/>
  <c r="P47" i="11"/>
  <c r="Q47" i="11"/>
  <c r="R47" i="11"/>
  <c r="S47" i="11"/>
  <c r="T47" i="11"/>
  <c r="U47" i="11"/>
  <c r="V47" i="11"/>
  <c r="W47" i="11"/>
  <c r="X47" i="11"/>
  <c r="Z47" i="11"/>
  <c r="AA47" i="11"/>
  <c r="G48" i="11"/>
  <c r="H48" i="11"/>
  <c r="J48" i="11"/>
  <c r="K48" i="11"/>
  <c r="L48" i="11"/>
  <c r="M48" i="11"/>
  <c r="N48" i="11"/>
  <c r="O48" i="11"/>
  <c r="P48" i="11"/>
  <c r="Q48" i="11"/>
  <c r="R48" i="11"/>
  <c r="S48" i="11"/>
  <c r="T48" i="11"/>
  <c r="U48" i="11"/>
  <c r="V48" i="11"/>
  <c r="W48" i="11"/>
  <c r="X48" i="11"/>
  <c r="Z48" i="11"/>
  <c r="AA48" i="11"/>
  <c r="G49" i="11"/>
  <c r="H49" i="11"/>
  <c r="J49" i="11"/>
  <c r="K49" i="11"/>
  <c r="L49" i="11"/>
  <c r="M49" i="11"/>
  <c r="N49" i="11"/>
  <c r="O49" i="11"/>
  <c r="P49" i="11"/>
  <c r="Q49" i="11"/>
  <c r="R49" i="11"/>
  <c r="S49" i="11"/>
  <c r="T49" i="11"/>
  <c r="U49" i="11"/>
  <c r="V49" i="11"/>
  <c r="W49" i="11"/>
  <c r="X49" i="11"/>
  <c r="Z49" i="11"/>
  <c r="AA49" i="11"/>
  <c r="G50" i="11"/>
  <c r="H50" i="11"/>
  <c r="J50" i="11"/>
  <c r="K50" i="11"/>
  <c r="L50" i="11"/>
  <c r="M50" i="11"/>
  <c r="N50" i="11"/>
  <c r="O50" i="11"/>
  <c r="P50" i="11"/>
  <c r="Q50" i="11"/>
  <c r="R50" i="11"/>
  <c r="S50" i="11"/>
  <c r="T50" i="11"/>
  <c r="U50" i="11"/>
  <c r="V50" i="11"/>
  <c r="W50" i="11"/>
  <c r="X50" i="11"/>
  <c r="Z50" i="11"/>
  <c r="AA50" i="11"/>
  <c r="G51" i="11"/>
  <c r="H51" i="11"/>
  <c r="J51" i="11"/>
  <c r="K51" i="11"/>
  <c r="L51" i="11"/>
  <c r="M51" i="11"/>
  <c r="N51" i="11"/>
  <c r="O51" i="11"/>
  <c r="P51" i="11"/>
  <c r="Q51" i="11"/>
  <c r="R51" i="11"/>
  <c r="S51" i="11"/>
  <c r="T51" i="11"/>
  <c r="U51" i="11"/>
  <c r="V51" i="11"/>
  <c r="W51" i="11"/>
  <c r="X51" i="11"/>
  <c r="Z51" i="11"/>
  <c r="AA51" i="11"/>
  <c r="G52" i="11"/>
  <c r="H52" i="11"/>
  <c r="J52" i="11"/>
  <c r="K52" i="11"/>
  <c r="L52" i="11"/>
  <c r="M52" i="11"/>
  <c r="N52" i="11"/>
  <c r="O52" i="11"/>
  <c r="P52" i="11"/>
  <c r="Q52" i="11"/>
  <c r="R52" i="11"/>
  <c r="S52" i="11"/>
  <c r="T52" i="11"/>
  <c r="U52" i="11"/>
  <c r="V52" i="11"/>
  <c r="W52" i="11"/>
  <c r="X52" i="11"/>
  <c r="Z52" i="11"/>
  <c r="AA52" i="11"/>
  <c r="G53" i="11"/>
  <c r="H53" i="11"/>
  <c r="J53" i="11"/>
  <c r="K53" i="11"/>
  <c r="L53" i="11"/>
  <c r="M53" i="11"/>
  <c r="N53" i="11"/>
  <c r="O53" i="11"/>
  <c r="P53" i="11"/>
  <c r="Q53" i="11"/>
  <c r="R53" i="11"/>
  <c r="S53" i="11"/>
  <c r="T53" i="11"/>
  <c r="U53" i="11"/>
  <c r="V53" i="11"/>
  <c r="W53" i="11"/>
  <c r="X53" i="11"/>
  <c r="Z53" i="11"/>
  <c r="AA53" i="11"/>
  <c r="G54" i="11"/>
  <c r="H54" i="11"/>
  <c r="J54" i="11"/>
  <c r="K54" i="11"/>
  <c r="L54" i="11"/>
  <c r="M54" i="11"/>
  <c r="N54" i="11"/>
  <c r="O54" i="11"/>
  <c r="P54" i="11"/>
  <c r="Q54" i="11"/>
  <c r="R54" i="11"/>
  <c r="S54" i="11"/>
  <c r="T54" i="11"/>
  <c r="U54" i="11"/>
  <c r="V54" i="11"/>
  <c r="W54" i="11"/>
  <c r="X54" i="11"/>
  <c r="Z54" i="11"/>
  <c r="AA54" i="11"/>
  <c r="H34" i="11"/>
  <c r="J34" i="11"/>
  <c r="K34" i="11"/>
  <c r="L34" i="11"/>
  <c r="M34" i="11"/>
  <c r="N34" i="11"/>
  <c r="O34" i="11"/>
  <c r="P34" i="11"/>
  <c r="Q34" i="11"/>
  <c r="R34" i="11"/>
  <c r="S34" i="11"/>
  <c r="T34" i="11"/>
  <c r="U34" i="11"/>
  <c r="V34" i="11"/>
  <c r="W34" i="11"/>
  <c r="X34" i="11"/>
  <c r="Z34" i="11"/>
  <c r="AA34" i="11"/>
  <c r="AY81" i="11"/>
  <c r="AX81" i="11"/>
  <c r="AW81" i="11"/>
  <c r="AV81" i="11"/>
  <c r="AU81" i="11"/>
  <c r="AT81" i="11"/>
  <c r="AS81" i="11"/>
  <c r="AR81" i="11"/>
  <c r="AQ81" i="11"/>
  <c r="AP81" i="11"/>
  <c r="AO81" i="11"/>
  <c r="AN81" i="11"/>
  <c r="AM81" i="11"/>
  <c r="AL81" i="11"/>
  <c r="AK81" i="11"/>
  <c r="AJ81" i="11"/>
  <c r="AI81" i="11"/>
  <c r="AH81" i="11"/>
  <c r="AG81" i="11"/>
  <c r="AF81" i="11"/>
  <c r="AX80" i="11"/>
  <c r="AW80" i="11"/>
  <c r="AV80" i="11"/>
  <c r="AU80" i="11"/>
  <c r="AT80" i="11"/>
  <c r="AS80" i="11"/>
  <c r="AR80" i="11"/>
  <c r="AQ80" i="11"/>
  <c r="AP80" i="11"/>
  <c r="AO80" i="11"/>
  <c r="AN80" i="11"/>
  <c r="AM80" i="11"/>
  <c r="AL80" i="11"/>
  <c r="AK80" i="11"/>
  <c r="AJ80" i="11"/>
  <c r="AI80" i="11"/>
  <c r="AH80" i="11"/>
  <c r="AG80" i="11"/>
  <c r="AF80" i="11"/>
  <c r="AW79" i="11"/>
  <c r="AV79" i="11"/>
  <c r="AU79" i="11"/>
  <c r="AT79" i="11"/>
  <c r="AS79" i="11"/>
  <c r="AR79" i="11"/>
  <c r="AQ79" i="11"/>
  <c r="AP79" i="11"/>
  <c r="AO79" i="11"/>
  <c r="AN79" i="11"/>
  <c r="AM79" i="11"/>
  <c r="AL79" i="11"/>
  <c r="AK79" i="11"/>
  <c r="AJ79" i="11"/>
  <c r="AI79" i="11"/>
  <c r="AH79" i="11"/>
  <c r="AG79" i="11"/>
  <c r="AF79" i="11"/>
  <c r="AV78" i="11"/>
  <c r="AU78" i="11"/>
  <c r="AT78" i="11"/>
  <c r="AS78" i="11"/>
  <c r="AR78" i="11"/>
  <c r="AQ78" i="11"/>
  <c r="AP78" i="11"/>
  <c r="AO78" i="11"/>
  <c r="AN78" i="11"/>
  <c r="AM78" i="11"/>
  <c r="AL78" i="11"/>
  <c r="AK78" i="11"/>
  <c r="AJ78" i="11"/>
  <c r="AI78" i="11"/>
  <c r="AH78" i="11"/>
  <c r="AG78" i="11"/>
  <c r="AF78" i="11"/>
  <c r="AU77" i="11"/>
  <c r="AT77" i="11"/>
  <c r="AS77" i="11"/>
  <c r="AR77" i="11"/>
  <c r="AQ77" i="11"/>
  <c r="AP77" i="11"/>
  <c r="AO77" i="11"/>
  <c r="AN77" i="11"/>
  <c r="AM77" i="11"/>
  <c r="AL77" i="11"/>
  <c r="AK77" i="11"/>
  <c r="AJ77" i="11"/>
  <c r="AI77" i="11"/>
  <c r="AH77" i="11"/>
  <c r="AG77" i="11"/>
  <c r="AF77" i="11"/>
  <c r="AT76" i="11"/>
  <c r="AS76" i="11"/>
  <c r="AR76" i="11"/>
  <c r="AQ76" i="11"/>
  <c r="AP76" i="11"/>
  <c r="AO76" i="11"/>
  <c r="AN76" i="11"/>
  <c r="AM76" i="11"/>
  <c r="AL76" i="11"/>
  <c r="AK76" i="11"/>
  <c r="AJ76" i="11"/>
  <c r="AI76" i="11"/>
  <c r="AH76" i="11"/>
  <c r="AG76" i="11"/>
  <c r="AF76" i="11"/>
  <c r="AS75" i="11"/>
  <c r="AR75" i="11"/>
  <c r="AQ75" i="11"/>
  <c r="AP75" i="11"/>
  <c r="AO75" i="11"/>
  <c r="AN75" i="11"/>
  <c r="AM75" i="11"/>
  <c r="AL75" i="11"/>
  <c r="AK75" i="11"/>
  <c r="AJ75" i="11"/>
  <c r="AI75" i="11"/>
  <c r="AH75" i="11"/>
  <c r="AG75" i="11"/>
  <c r="AF75" i="11"/>
  <c r="AR74" i="11"/>
  <c r="AQ74" i="11"/>
  <c r="AP74" i="11"/>
  <c r="AO74" i="11"/>
  <c r="AN74" i="11"/>
  <c r="AM74" i="11"/>
  <c r="AL74" i="11"/>
  <c r="AK74" i="11"/>
  <c r="AJ74" i="11"/>
  <c r="AI74" i="11"/>
  <c r="AH74" i="11"/>
  <c r="AG74" i="11"/>
  <c r="AF74" i="11"/>
  <c r="AQ73" i="11"/>
  <c r="AP73" i="11"/>
  <c r="AO73" i="11"/>
  <c r="AN73" i="11"/>
  <c r="AM73" i="11"/>
  <c r="AL73" i="11"/>
  <c r="AK73" i="11"/>
  <c r="AJ73" i="11"/>
  <c r="AI73" i="11"/>
  <c r="AH73" i="11"/>
  <c r="AG73" i="11"/>
  <c r="AF73" i="11"/>
  <c r="AP72" i="11"/>
  <c r="AO72" i="11"/>
  <c r="AN72" i="11"/>
  <c r="AM72" i="11"/>
  <c r="AL72" i="11"/>
  <c r="AK72" i="11"/>
  <c r="AJ72" i="11"/>
  <c r="AI72" i="11"/>
  <c r="AH72" i="11"/>
  <c r="AG72" i="11"/>
  <c r="AF72" i="11"/>
  <c r="AO71" i="11"/>
  <c r="AN71" i="11"/>
  <c r="AM71" i="11"/>
  <c r="AL71" i="11"/>
  <c r="AK71" i="11"/>
  <c r="AJ71" i="11"/>
  <c r="AI71" i="11"/>
  <c r="AH71" i="11"/>
  <c r="AG71" i="11"/>
  <c r="AF71" i="11"/>
  <c r="AN70" i="11"/>
  <c r="AM70" i="11"/>
  <c r="AL70" i="11"/>
  <c r="AK70" i="11"/>
  <c r="AJ70" i="11"/>
  <c r="AI70" i="11"/>
  <c r="AH70" i="11"/>
  <c r="AG70" i="11"/>
  <c r="AF70" i="11"/>
  <c r="AM69" i="11"/>
  <c r="AL69" i="11"/>
  <c r="AK69" i="11"/>
  <c r="AJ69" i="11"/>
  <c r="AI69" i="11"/>
  <c r="AH69" i="11"/>
  <c r="AG69" i="11"/>
  <c r="AF69" i="11"/>
  <c r="AL68" i="11"/>
  <c r="AK68" i="11"/>
  <c r="AJ68" i="11"/>
  <c r="AI68" i="11"/>
  <c r="AH68" i="11"/>
  <c r="AG68" i="11"/>
  <c r="AF68" i="11"/>
  <c r="AK67" i="11"/>
  <c r="AJ67" i="11"/>
  <c r="AI67" i="11"/>
  <c r="AH67" i="11"/>
  <c r="AG67" i="11"/>
  <c r="AF67" i="11"/>
  <c r="AJ66" i="11"/>
  <c r="AI66" i="11"/>
  <c r="AH66" i="11"/>
  <c r="AG66" i="11"/>
  <c r="AF66" i="11"/>
  <c r="AI65" i="11"/>
  <c r="AH65" i="11"/>
  <c r="AG65" i="11"/>
  <c r="AF65" i="11"/>
  <c r="AH64" i="11"/>
  <c r="AG64" i="11"/>
  <c r="AF64" i="11"/>
  <c r="AG63" i="11"/>
  <c r="AF63" i="11"/>
  <c r="AF62" i="11"/>
  <c r="Z10" i="12"/>
  <c r="Y10" i="12"/>
  <c r="X10" i="12"/>
  <c r="W10" i="12"/>
  <c r="V10" i="12"/>
  <c r="U10" i="12"/>
  <c r="T10" i="12"/>
  <c r="S10" i="12"/>
  <c r="R10" i="12"/>
  <c r="Q10" i="12"/>
  <c r="P10" i="12"/>
  <c r="O10" i="12"/>
  <c r="N10" i="12"/>
  <c r="M10" i="12"/>
  <c r="L10" i="12"/>
  <c r="K10" i="12"/>
  <c r="J10" i="12"/>
  <c r="I10" i="12"/>
  <c r="H10" i="12"/>
  <c r="G10" i="12"/>
  <c r="F10" i="12"/>
  <c r="G34" i="11"/>
  <c r="E55" i="11"/>
  <c r="G72" i="11"/>
  <c r="H72" i="11"/>
  <c r="I72" i="11"/>
  <c r="J72" i="11"/>
  <c r="K72" i="11"/>
  <c r="L72" i="11"/>
  <c r="M72" i="11"/>
  <c r="N72" i="11"/>
  <c r="O72" i="11"/>
  <c r="P72" i="11"/>
  <c r="Q72" i="11"/>
  <c r="G73" i="11"/>
  <c r="H73" i="11"/>
  <c r="I73" i="11"/>
  <c r="J73" i="11"/>
  <c r="K73" i="11"/>
  <c r="L73" i="11"/>
  <c r="M73" i="11"/>
  <c r="N73" i="11"/>
  <c r="O73" i="11"/>
  <c r="P73" i="11"/>
  <c r="Q73" i="11"/>
  <c r="R73" i="11"/>
  <c r="G74" i="11"/>
  <c r="H74" i="11"/>
  <c r="I74" i="11"/>
  <c r="J74" i="11"/>
  <c r="K74" i="11"/>
  <c r="L74" i="11"/>
  <c r="M74" i="11"/>
  <c r="N74" i="11"/>
  <c r="O74" i="11"/>
  <c r="P74" i="11"/>
  <c r="Q74" i="11"/>
  <c r="R74" i="11"/>
  <c r="S74" i="11"/>
  <c r="G75" i="11"/>
  <c r="H75" i="11"/>
  <c r="I75" i="11"/>
  <c r="J75" i="11"/>
  <c r="K75" i="11"/>
  <c r="L75" i="11"/>
  <c r="M75" i="11"/>
  <c r="N75" i="11"/>
  <c r="O75" i="11"/>
  <c r="P75" i="11"/>
  <c r="Q75" i="11"/>
  <c r="R75" i="11"/>
  <c r="S75" i="11"/>
  <c r="T75" i="11"/>
  <c r="G76" i="11"/>
  <c r="H76" i="11"/>
  <c r="I76" i="11"/>
  <c r="J76" i="11"/>
  <c r="K76" i="11"/>
  <c r="L76" i="11"/>
  <c r="M76" i="11"/>
  <c r="N76" i="11"/>
  <c r="O76" i="11"/>
  <c r="P76" i="11"/>
  <c r="Q76" i="11"/>
  <c r="R76" i="11"/>
  <c r="S76" i="11"/>
  <c r="T76" i="11"/>
  <c r="U76" i="11"/>
  <c r="G77" i="11"/>
  <c r="H77" i="11"/>
  <c r="I77" i="11"/>
  <c r="J77" i="11"/>
  <c r="K77" i="11"/>
  <c r="L77" i="11"/>
  <c r="M77" i="11"/>
  <c r="N77" i="11"/>
  <c r="O77" i="11"/>
  <c r="P77" i="11"/>
  <c r="Q77" i="11"/>
  <c r="R77" i="11"/>
  <c r="S77" i="11"/>
  <c r="T77" i="11"/>
  <c r="U77" i="11"/>
  <c r="V77" i="11"/>
  <c r="G78" i="11"/>
  <c r="H78" i="11"/>
  <c r="I78" i="11"/>
  <c r="J78" i="11"/>
  <c r="K78" i="11"/>
  <c r="L78" i="11"/>
  <c r="M78" i="11"/>
  <c r="N78" i="11"/>
  <c r="O78" i="11"/>
  <c r="P78" i="11"/>
  <c r="Q78" i="11"/>
  <c r="R78" i="11"/>
  <c r="S78" i="11"/>
  <c r="T78" i="11"/>
  <c r="U78" i="11"/>
  <c r="V78" i="11"/>
  <c r="W78" i="11"/>
  <c r="G79" i="11"/>
  <c r="H79" i="11"/>
  <c r="I79" i="11"/>
  <c r="J79" i="11"/>
  <c r="K79" i="11"/>
  <c r="L79" i="11"/>
  <c r="M79" i="11"/>
  <c r="N79" i="11"/>
  <c r="O79" i="11"/>
  <c r="P79" i="11"/>
  <c r="Q79" i="11"/>
  <c r="R79" i="11"/>
  <c r="S79" i="11"/>
  <c r="T79" i="11"/>
  <c r="U79" i="11"/>
  <c r="V79" i="11"/>
  <c r="W79" i="11"/>
  <c r="X79" i="11"/>
  <c r="G80" i="11"/>
  <c r="H80" i="11"/>
  <c r="I80" i="11"/>
  <c r="J80" i="11"/>
  <c r="K80" i="11"/>
  <c r="L80" i="11"/>
  <c r="M80" i="11"/>
  <c r="N80" i="11"/>
  <c r="O80" i="11"/>
  <c r="P80" i="11"/>
  <c r="Q80" i="11"/>
  <c r="R80" i="11"/>
  <c r="S80" i="11"/>
  <c r="T80" i="11"/>
  <c r="U80" i="11"/>
  <c r="V80" i="11"/>
  <c r="W80" i="11"/>
  <c r="X80" i="11"/>
  <c r="Y80" i="11"/>
  <c r="G81" i="11"/>
  <c r="H81" i="11"/>
  <c r="I81" i="11"/>
  <c r="J81" i="11"/>
  <c r="K81" i="11"/>
  <c r="L81" i="11"/>
  <c r="M81" i="11"/>
  <c r="N81" i="11"/>
  <c r="O81" i="11"/>
  <c r="P81" i="11"/>
  <c r="Q81" i="11"/>
  <c r="R81" i="11"/>
  <c r="S81" i="11"/>
  <c r="T81" i="11"/>
  <c r="U81" i="11"/>
  <c r="V81" i="11"/>
  <c r="W81" i="11"/>
  <c r="X81" i="11"/>
  <c r="Y81" i="11"/>
  <c r="Z81" i="11"/>
  <c r="G62" i="11"/>
  <c r="G63" i="11"/>
  <c r="H63" i="11"/>
  <c r="G64" i="11"/>
  <c r="H64" i="11"/>
  <c r="I64" i="11"/>
  <c r="G65" i="11"/>
  <c r="H65" i="11"/>
  <c r="I65" i="11"/>
  <c r="J65" i="11"/>
  <c r="G66" i="11"/>
  <c r="H66" i="11"/>
  <c r="I66" i="11"/>
  <c r="J66" i="11"/>
  <c r="K66" i="11"/>
  <c r="G67" i="11"/>
  <c r="H67" i="11"/>
  <c r="I67" i="11"/>
  <c r="J67" i="11"/>
  <c r="K67" i="11"/>
  <c r="L67" i="11"/>
  <c r="G68" i="11"/>
  <c r="H68" i="11"/>
  <c r="I68" i="11"/>
  <c r="J68" i="11"/>
  <c r="K68" i="11"/>
  <c r="L68" i="11"/>
  <c r="M68" i="11"/>
  <c r="G69" i="11"/>
  <c r="H69" i="11"/>
  <c r="I69" i="11"/>
  <c r="J69" i="11"/>
  <c r="K69" i="11"/>
  <c r="L69" i="11"/>
  <c r="M69" i="11"/>
  <c r="N69" i="11"/>
  <c r="G70" i="11"/>
  <c r="H70" i="11"/>
  <c r="I70" i="11"/>
  <c r="J70" i="11"/>
  <c r="K70" i="11"/>
  <c r="L70" i="11"/>
  <c r="M70" i="11"/>
  <c r="N70" i="11"/>
  <c r="O70" i="11"/>
  <c r="G71" i="11"/>
  <c r="H71" i="11"/>
  <c r="I71" i="11"/>
  <c r="J71" i="11"/>
  <c r="K71" i="11"/>
  <c r="L71" i="11"/>
  <c r="M71" i="11"/>
  <c r="N71" i="11"/>
  <c r="O71" i="11"/>
  <c r="P71" i="11"/>
  <c r="E73" i="11"/>
  <c r="AD65" i="11"/>
  <c r="AD78" i="11"/>
  <c r="AD62" i="11"/>
  <c r="AD54" i="11"/>
  <c r="AD75" i="11"/>
  <c r="V55" i="11"/>
  <c r="AD48" i="11"/>
  <c r="E74" i="11"/>
  <c r="AD66" i="11"/>
  <c r="AD79" i="11"/>
  <c r="AD63" i="11"/>
  <c r="N55" i="11"/>
  <c r="AD49" i="11"/>
  <c r="Q55" i="11"/>
  <c r="AA55" i="11"/>
  <c r="X55" i="11"/>
  <c r="P55" i="11"/>
  <c r="U55" i="11"/>
  <c r="M55" i="11"/>
  <c r="Z55" i="11"/>
  <c r="R55" i="11"/>
  <c r="T55" i="11"/>
  <c r="AD47" i="11"/>
  <c r="AX47" i="11"/>
  <c r="E61" i="11"/>
  <c r="E77" i="11"/>
  <c r="AD67" i="11"/>
  <c r="AD81" i="11"/>
  <c r="AD73" i="11"/>
  <c r="AD74" i="11"/>
  <c r="AD46" i="11"/>
  <c r="E64" i="11"/>
  <c r="E80" i="11"/>
  <c r="AD70" i="11"/>
  <c r="AD39" i="11"/>
  <c r="AD38" i="11"/>
  <c r="AD41" i="11"/>
  <c r="E65" i="11"/>
  <c r="E81" i="11"/>
  <c r="AD71" i="11"/>
  <c r="W68" i="13"/>
  <c r="C68" i="13"/>
  <c r="B68" i="13"/>
  <c r="B39" i="13"/>
  <c r="T37" i="13"/>
  <c r="N68" i="13"/>
  <c r="W37" i="13"/>
  <c r="I37" i="13"/>
  <c r="Y37" i="13"/>
  <c r="O68" i="13"/>
  <c r="X68" i="13"/>
  <c r="J37" i="13"/>
  <c r="Z37" i="13"/>
  <c r="I68" i="13"/>
  <c r="Y68" i="13"/>
  <c r="L37" i="13"/>
  <c r="Q37" i="13"/>
  <c r="L68" i="13"/>
  <c r="T68" i="13"/>
  <c r="D37" i="13"/>
  <c r="R37" i="13"/>
  <c r="K37" i="13"/>
  <c r="S37" i="13"/>
  <c r="AA37" i="13"/>
  <c r="M37" i="13"/>
  <c r="U37" i="13"/>
  <c r="P68" i="13"/>
  <c r="N37" i="13"/>
  <c r="V37" i="13"/>
  <c r="H37" i="13"/>
  <c r="P37" i="13"/>
  <c r="X37" i="13"/>
  <c r="H68" i="13"/>
  <c r="V68" i="13"/>
  <c r="AA68" i="13"/>
  <c r="S68" i="13"/>
  <c r="K68" i="13"/>
  <c r="Z68" i="13"/>
  <c r="R68" i="13"/>
  <c r="J68" i="13"/>
  <c r="U68" i="13"/>
  <c r="M68" i="13"/>
  <c r="D68" i="13"/>
  <c r="Q68" i="13"/>
  <c r="M65" i="12"/>
  <c r="U65" i="12"/>
  <c r="O65" i="12"/>
  <c r="W65" i="12"/>
  <c r="I65" i="12"/>
  <c r="Q65" i="12"/>
  <c r="Y65" i="12"/>
  <c r="S65" i="12"/>
  <c r="J65" i="12"/>
  <c r="R65" i="12"/>
  <c r="Z65" i="12"/>
  <c r="C65" i="12"/>
  <c r="B65" i="12"/>
  <c r="K65" i="12"/>
  <c r="AA65" i="12"/>
  <c r="D34" i="12"/>
  <c r="AD68" i="11"/>
  <c r="AD76" i="11"/>
  <c r="AD61" i="11"/>
  <c r="AD69" i="11"/>
  <c r="AD77" i="11"/>
  <c r="AD64" i="11"/>
  <c r="AD72" i="11"/>
  <c r="E67" i="11"/>
  <c r="E75" i="11"/>
  <c r="E68" i="11"/>
  <c r="E76" i="11"/>
  <c r="E62" i="11"/>
  <c r="E70" i="11"/>
  <c r="E78" i="11"/>
  <c r="E63" i="11"/>
  <c r="E71" i="11"/>
  <c r="AF34" i="11"/>
  <c r="AF55" i="11"/>
  <c r="AK34" i="11"/>
  <c r="AN34" i="11"/>
  <c r="AS34" i="11"/>
  <c r="AM34" i="11"/>
  <c r="AV34" i="11"/>
  <c r="AD53" i="11"/>
  <c r="AD45" i="11"/>
  <c r="AD37" i="11"/>
  <c r="AD52" i="11"/>
  <c r="AD44" i="11"/>
  <c r="AD36" i="11"/>
  <c r="AD35" i="11"/>
  <c r="AD42" i="11"/>
  <c r="AD43" i="11"/>
  <c r="AD50" i="11"/>
  <c r="AD51" i="11"/>
  <c r="AD55" i="11"/>
  <c r="AZ35" i="11"/>
  <c r="AO42" i="11"/>
  <c r="AH35" i="11"/>
  <c r="AP35" i="11"/>
  <c r="AX35" i="11"/>
  <c r="AQ35" i="11"/>
  <c r="AJ35" i="11"/>
  <c r="AR35" i="11"/>
  <c r="AV35" i="11"/>
  <c r="AK35" i="11"/>
  <c r="AS35" i="11"/>
  <c r="AN35" i="11"/>
  <c r="AL35" i="11"/>
  <c r="AT35" i="11"/>
  <c r="AM35" i="11"/>
  <c r="AG35" i="11"/>
  <c r="AO35" i="11"/>
  <c r="AW35" i="11"/>
  <c r="AI35" i="11"/>
  <c r="AY35" i="11"/>
  <c r="AT34" i="11"/>
  <c r="AL34" i="11"/>
  <c r="AT42" i="11"/>
  <c r="AS39" i="11"/>
  <c r="AK39" i="11"/>
  <c r="AZ34" i="11"/>
  <c r="AR34" i="11"/>
  <c r="AJ34" i="11"/>
  <c r="AZ50" i="11"/>
  <c r="AZ42" i="11"/>
  <c r="AR42" i="11"/>
  <c r="AY39" i="11"/>
  <c r="AQ39" i="11"/>
  <c r="AZ54" i="11"/>
  <c r="AY34" i="11"/>
  <c r="AQ34" i="11"/>
  <c r="AI34" i="11"/>
  <c r="AY50" i="11"/>
  <c r="AY42" i="11"/>
  <c r="AQ42" i="11"/>
  <c r="AP39" i="11"/>
  <c r="AX34" i="11"/>
  <c r="AP34" i="11"/>
  <c r="AH34" i="11"/>
  <c r="AX50" i="11"/>
  <c r="AW47" i="11"/>
  <c r="AX42" i="11"/>
  <c r="AO39" i="11"/>
  <c r="AW34" i="11"/>
  <c r="AO34" i="11"/>
  <c r="AG34" i="11"/>
  <c r="AG55" i="11"/>
  <c r="AV39" i="11"/>
  <c r="AN39" i="11"/>
  <c r="AU34" i="11"/>
  <c r="AT39" i="11"/>
  <c r="X65" i="12"/>
  <c r="P65" i="12"/>
  <c r="H65" i="12"/>
  <c r="V65" i="12"/>
  <c r="N65" i="12"/>
  <c r="G65" i="12"/>
  <c r="G86" i="12"/>
  <c r="T65" i="12"/>
  <c r="L65" i="12"/>
  <c r="M34" i="12"/>
  <c r="R34" i="12"/>
  <c r="S34" i="12"/>
  <c r="N34" i="12"/>
  <c r="AA34" i="12"/>
  <c r="K34" i="12"/>
  <c r="Z34" i="12"/>
  <c r="J34" i="12"/>
  <c r="V34" i="12"/>
  <c r="O34" i="12"/>
  <c r="G34" i="12"/>
  <c r="G55" i="12"/>
  <c r="T34" i="12"/>
  <c r="L34" i="12"/>
  <c r="Y34" i="12"/>
  <c r="Q34" i="12"/>
  <c r="I34" i="12"/>
  <c r="X34" i="12"/>
  <c r="P34" i="12"/>
  <c r="H34" i="12"/>
  <c r="W34" i="12"/>
  <c r="G55" i="11"/>
  <c r="L55" i="11"/>
  <c r="H55" i="11"/>
  <c r="W55" i="11"/>
  <c r="O55" i="11"/>
  <c r="K55" i="11"/>
  <c r="J55" i="11"/>
  <c r="S55" i="11"/>
  <c r="AD82" i="11"/>
  <c r="AV47" i="11"/>
  <c r="AX49" i="11"/>
  <c r="AV49" i="11"/>
  <c r="AY49" i="11"/>
  <c r="AW49" i="11"/>
  <c r="AZ49" i="11"/>
  <c r="AU49" i="11"/>
  <c r="AY47" i="11"/>
  <c r="AS47" i="11"/>
  <c r="AU35" i="11"/>
  <c r="AT41" i="11"/>
  <c r="AQ41" i="11"/>
  <c r="AZ41" i="11"/>
  <c r="AS41" i="11"/>
  <c r="AM41" i="11"/>
  <c r="AU41" i="11"/>
  <c r="AY41" i="11"/>
  <c r="AN41" i="11"/>
  <c r="AV41" i="11"/>
  <c r="AP41" i="11"/>
  <c r="AR41" i="11"/>
  <c r="AO41" i="11"/>
  <c r="AW41" i="11"/>
  <c r="AX41" i="11"/>
  <c r="AT47" i="11"/>
  <c r="AU47" i="11"/>
  <c r="AZ47" i="11"/>
  <c r="AM39" i="11"/>
  <c r="AR39" i="11"/>
  <c r="AU39" i="11"/>
  <c r="AZ39" i="11"/>
  <c r="AL39" i="11"/>
  <c r="AW39" i="11"/>
  <c r="AX39" i="11"/>
  <c r="B40" i="13"/>
  <c r="C39" i="13"/>
  <c r="E82" i="11"/>
  <c r="AV50" i="11"/>
  <c r="AW50" i="11"/>
  <c r="AU42" i="11"/>
  <c r="AN42" i="11"/>
  <c r="AS42" i="11"/>
  <c r="AV42" i="11"/>
  <c r="AW42" i="11"/>
  <c r="AP42" i="11"/>
  <c r="AP43" i="11"/>
  <c r="AX43" i="11"/>
  <c r="AQ43" i="11"/>
  <c r="AR43" i="11"/>
  <c r="AZ43" i="11"/>
  <c r="AS43" i="11"/>
  <c r="AT43" i="11"/>
  <c r="AU43" i="11"/>
  <c r="AV43" i="11"/>
  <c r="AO43" i="11"/>
  <c r="AW43" i="11"/>
  <c r="AY43" i="11"/>
  <c r="AS44" i="11"/>
  <c r="AU44" i="11"/>
  <c r="AY44" i="11"/>
  <c r="AV44" i="11"/>
  <c r="AQ44" i="11"/>
  <c r="AW44" i="11"/>
  <c r="AP44" i="11"/>
  <c r="AX44" i="11"/>
  <c r="AR44" i="11"/>
  <c r="AZ44" i="11"/>
  <c r="AT44" i="11"/>
  <c r="AY46" i="11"/>
  <c r="AR46" i="11"/>
  <c r="AS46" i="11"/>
  <c r="AW46" i="11"/>
  <c r="AT46" i="11"/>
  <c r="AU46" i="11"/>
  <c r="AV46" i="11"/>
  <c r="AX46" i="11"/>
  <c r="AZ46" i="11"/>
  <c r="AN37" i="11"/>
  <c r="AV37" i="11"/>
  <c r="AW37" i="11"/>
  <c r="AP37" i="11"/>
  <c r="AX37" i="11"/>
  <c r="AI37" i="11"/>
  <c r="AQ37" i="11"/>
  <c r="AY37" i="11"/>
  <c r="AJ37" i="11"/>
  <c r="AR37" i="11"/>
  <c r="AZ37" i="11"/>
  <c r="AL37" i="11"/>
  <c r="AK37" i="11"/>
  <c r="AS37" i="11"/>
  <c r="AT37" i="11"/>
  <c r="AM37" i="11"/>
  <c r="AU37" i="11"/>
  <c r="AO37" i="11"/>
  <c r="AO40" i="11"/>
  <c r="AW40" i="11"/>
  <c r="AX40" i="11"/>
  <c r="AQ40" i="11"/>
  <c r="AY40" i="11"/>
  <c r="AR40" i="11"/>
  <c r="AZ40" i="11"/>
  <c r="AS40" i="11"/>
  <c r="AM40" i="11"/>
  <c r="AL40" i="11"/>
  <c r="AT40" i="11"/>
  <c r="AU40" i="11"/>
  <c r="AN40" i="11"/>
  <c r="AV40" i="11"/>
  <c r="AP40" i="11"/>
  <c r="AV45" i="11"/>
  <c r="AW45" i="11"/>
  <c r="AX45" i="11"/>
  <c r="AQ45" i="11"/>
  <c r="AY45" i="11"/>
  <c r="AR45" i="11"/>
  <c r="AZ45" i="11"/>
  <c r="AT45" i="11"/>
  <c r="AS45" i="11"/>
  <c r="AU45" i="11"/>
  <c r="AW48" i="11"/>
  <c r="AY48" i="11"/>
  <c r="AZ48" i="11"/>
  <c r="AU48" i="11"/>
  <c r="AT48" i="11"/>
  <c r="AV48" i="11"/>
  <c r="AX48" i="11"/>
  <c r="AX51" i="11"/>
  <c r="AZ51" i="11"/>
  <c r="AW51" i="11"/>
  <c r="AY51" i="11"/>
  <c r="AY52" i="11"/>
  <c r="AX52" i="11"/>
  <c r="AZ52" i="11"/>
  <c r="AY53" i="11"/>
  <c r="AZ53" i="11"/>
  <c r="AK36" i="11"/>
  <c r="AS36" i="11"/>
  <c r="AL36" i="11"/>
  <c r="AM36" i="11"/>
  <c r="AU36" i="11"/>
  <c r="AY36" i="11"/>
  <c r="AN36" i="11"/>
  <c r="AV36" i="11"/>
  <c r="AQ36" i="11"/>
  <c r="AO36" i="11"/>
  <c r="AW36" i="11"/>
  <c r="AH36" i="11"/>
  <c r="AH55" i="11"/>
  <c r="AP36" i="11"/>
  <c r="AX36" i="11"/>
  <c r="AI36" i="11"/>
  <c r="AJ36" i="11"/>
  <c r="AR36" i="11"/>
  <c r="AZ36" i="11"/>
  <c r="AT36" i="11"/>
  <c r="AQ38" i="11"/>
  <c r="AY38" i="11"/>
  <c r="AR38" i="11"/>
  <c r="AK38" i="11"/>
  <c r="AS38" i="11"/>
  <c r="AO38" i="11"/>
  <c r="AL38" i="11"/>
  <c r="AT38" i="11"/>
  <c r="AM38" i="11"/>
  <c r="AU38" i="11"/>
  <c r="AW38" i="11"/>
  <c r="AN38" i="11"/>
  <c r="AV38" i="11"/>
  <c r="AP38" i="11"/>
  <c r="AX38" i="11"/>
  <c r="AJ38" i="11"/>
  <c r="AZ38" i="11"/>
  <c r="B41" i="13"/>
  <c r="C40" i="13"/>
  <c r="AJ55" i="11"/>
  <c r="AI55" i="11"/>
  <c r="AL55" i="11"/>
  <c r="AK55" i="11"/>
  <c r="B42" i="13"/>
  <c r="C41" i="13"/>
  <c r="AN55" i="11"/>
  <c r="AM55" i="11"/>
  <c r="B43" i="13"/>
  <c r="C42" i="13"/>
  <c r="AO55" i="11"/>
  <c r="AQ55" i="11"/>
  <c r="AP55" i="11"/>
  <c r="B44" i="13"/>
  <c r="C43" i="13"/>
  <c r="AR55" i="11"/>
  <c r="B45" i="13"/>
  <c r="C44" i="13"/>
  <c r="AT55" i="11"/>
  <c r="AS55" i="11"/>
  <c r="B46" i="13"/>
  <c r="C45" i="13"/>
  <c r="AV55" i="11"/>
  <c r="AU55" i="11"/>
  <c r="B47" i="13"/>
  <c r="C46" i="13"/>
  <c r="AW55" i="11"/>
  <c r="AX55" i="11"/>
  <c r="B48" i="13"/>
  <c r="C47" i="13"/>
  <c r="AZ55" i="11"/>
  <c r="AY55" i="11"/>
  <c r="B49" i="13"/>
  <c r="C48" i="13"/>
  <c r="G13" i="11"/>
  <c r="H13" i="11"/>
  <c r="I13" i="11"/>
  <c r="J13" i="11"/>
  <c r="K13" i="11"/>
  <c r="L13" i="11"/>
  <c r="M13" i="11"/>
  <c r="N13" i="11"/>
  <c r="O13" i="11"/>
  <c r="P13" i="11"/>
  <c r="Q13" i="11"/>
  <c r="R13" i="11"/>
  <c r="S13" i="11"/>
  <c r="T13" i="11"/>
  <c r="U13" i="11"/>
  <c r="V13" i="11"/>
  <c r="W13" i="11"/>
  <c r="X13" i="11"/>
  <c r="Y13" i="11"/>
  <c r="Z13" i="11"/>
  <c r="B50" i="13"/>
  <c r="C49" i="13"/>
  <c r="AA61" i="11"/>
  <c r="X72" i="11"/>
  <c r="N62" i="11"/>
  <c r="R66" i="11"/>
  <c r="V70" i="11"/>
  <c r="M61" i="11"/>
  <c r="AA75" i="11"/>
  <c r="Q65" i="11"/>
  <c r="U69" i="11"/>
  <c r="Z74" i="11"/>
  <c r="P64" i="11"/>
  <c r="T68" i="11"/>
  <c r="Y73" i="11"/>
  <c r="O63" i="11"/>
  <c r="S67" i="11"/>
  <c r="W71" i="11"/>
  <c r="G61" i="11"/>
  <c r="S73" i="11"/>
  <c r="W77" i="11"/>
  <c r="AA81" i="11"/>
  <c r="AZ81" i="11"/>
  <c r="I63" i="11"/>
  <c r="M67" i="11"/>
  <c r="Q71" i="11"/>
  <c r="R72" i="11"/>
  <c r="V76" i="11"/>
  <c r="Z80" i="11"/>
  <c r="H62" i="11"/>
  <c r="L66" i="11"/>
  <c r="P70" i="11"/>
  <c r="U75" i="11"/>
  <c r="Y79" i="11"/>
  <c r="K65" i="11"/>
  <c r="O69" i="11"/>
  <c r="T74" i="11"/>
  <c r="X78" i="11"/>
  <c r="J64" i="11"/>
  <c r="N68" i="11"/>
  <c r="U62" i="11"/>
  <c r="Y66" i="11"/>
  <c r="T61" i="11"/>
  <c r="X65" i="11"/>
  <c r="W64" i="11"/>
  <c r="AA68" i="11"/>
  <c r="V63" i="11"/>
  <c r="Z67" i="11"/>
  <c r="W72" i="11"/>
  <c r="AA76" i="11"/>
  <c r="M62" i="11"/>
  <c r="Q66" i="11"/>
  <c r="U70" i="11"/>
  <c r="L61" i="11"/>
  <c r="Z75" i="11"/>
  <c r="P65" i="11"/>
  <c r="T69" i="11"/>
  <c r="Y74" i="11"/>
  <c r="O64" i="11"/>
  <c r="S68" i="11"/>
  <c r="X73" i="11"/>
  <c r="N63" i="11"/>
  <c r="R67" i="11"/>
  <c r="V71" i="11"/>
  <c r="V62" i="11"/>
  <c r="Z66" i="11"/>
  <c r="U61" i="11"/>
  <c r="Y65" i="11"/>
  <c r="X64" i="11"/>
  <c r="W63" i="11"/>
  <c r="AA67" i="11"/>
  <c r="W65" i="11"/>
  <c r="AA69" i="11"/>
  <c r="V64" i="11"/>
  <c r="Z68" i="11"/>
  <c r="U63" i="11"/>
  <c r="Y67" i="11"/>
  <c r="T62" i="11"/>
  <c r="X66" i="11"/>
  <c r="S61" i="11"/>
  <c r="Y75" i="11"/>
  <c r="O65" i="11"/>
  <c r="S69" i="11"/>
  <c r="X74" i="11"/>
  <c r="N64" i="11"/>
  <c r="R68" i="11"/>
  <c r="W73" i="11"/>
  <c r="AA77" i="11"/>
  <c r="M63" i="11"/>
  <c r="Q67" i="11"/>
  <c r="U71" i="11"/>
  <c r="V72" i="11"/>
  <c r="Z76" i="11"/>
  <c r="L62" i="11"/>
  <c r="P66" i="11"/>
  <c r="T70" i="11"/>
  <c r="K61" i="11"/>
  <c r="AA62" i="11"/>
  <c r="Z61" i="11"/>
  <c r="V65" i="11"/>
  <c r="Z69" i="11"/>
  <c r="U64" i="11"/>
  <c r="Y68" i="11"/>
  <c r="T63" i="11"/>
  <c r="X67" i="11"/>
  <c r="S62" i="11"/>
  <c r="W66" i="11"/>
  <c r="AA70" i="11"/>
  <c r="R61" i="11"/>
  <c r="X75" i="11"/>
  <c r="N65" i="11"/>
  <c r="R69" i="11"/>
  <c r="W74" i="11"/>
  <c r="AA78" i="11"/>
  <c r="M64" i="11"/>
  <c r="Q68" i="11"/>
  <c r="V73" i="11"/>
  <c r="Z77" i="11"/>
  <c r="L63" i="11"/>
  <c r="P67" i="11"/>
  <c r="T71" i="11"/>
  <c r="U72" i="11"/>
  <c r="Y76" i="11"/>
  <c r="K62" i="11"/>
  <c r="O66" i="11"/>
  <c r="S70" i="11"/>
  <c r="J61" i="11"/>
  <c r="AA63" i="11"/>
  <c r="Z62" i="11"/>
  <c r="Y61" i="11"/>
  <c r="T64" i="11"/>
  <c r="X68" i="11"/>
  <c r="S63" i="11"/>
  <c r="W67" i="11"/>
  <c r="AA71" i="11"/>
  <c r="R62" i="11"/>
  <c r="V66" i="11"/>
  <c r="Z70" i="11"/>
  <c r="Q61" i="11"/>
  <c r="U65" i="11"/>
  <c r="Y69" i="11"/>
  <c r="V74" i="11"/>
  <c r="Z78" i="11"/>
  <c r="L64" i="11"/>
  <c r="P68" i="11"/>
  <c r="U73" i="11"/>
  <c r="Y77" i="11"/>
  <c r="K63" i="11"/>
  <c r="O67" i="11"/>
  <c r="S71" i="11"/>
  <c r="T72" i="11"/>
  <c r="X76" i="11"/>
  <c r="J62" i="11"/>
  <c r="N66" i="11"/>
  <c r="R70" i="11"/>
  <c r="I61" i="11"/>
  <c r="W75" i="11"/>
  <c r="AA79" i="11"/>
  <c r="M65" i="11"/>
  <c r="Q69" i="11"/>
  <c r="AA64" i="11"/>
  <c r="Z63" i="11"/>
  <c r="Y62" i="11"/>
  <c r="X61" i="11"/>
  <c r="S64" i="11"/>
  <c r="W68" i="11"/>
  <c r="R63" i="11"/>
  <c r="V67" i="11"/>
  <c r="Z71" i="11"/>
  <c r="AA72" i="11"/>
  <c r="Q62" i="11"/>
  <c r="U66" i="11"/>
  <c r="Y70" i="11"/>
  <c r="P61" i="11"/>
  <c r="T65" i="11"/>
  <c r="X69" i="11"/>
  <c r="U74" i="11"/>
  <c r="Y78" i="11"/>
  <c r="K64" i="11"/>
  <c r="O68" i="11"/>
  <c r="T73" i="11"/>
  <c r="X77" i="11"/>
  <c r="J63" i="11"/>
  <c r="N67" i="11"/>
  <c r="R71" i="11"/>
  <c r="S72" i="11"/>
  <c r="W76" i="11"/>
  <c r="AA80" i="11"/>
  <c r="I62" i="11"/>
  <c r="M66" i="11"/>
  <c r="Q70" i="11"/>
  <c r="H61" i="11"/>
  <c r="V75" i="11"/>
  <c r="Z79" i="11"/>
  <c r="L65" i="11"/>
  <c r="P69" i="11"/>
  <c r="Y63" i="11"/>
  <c r="X62" i="11"/>
  <c r="W61" i="11"/>
  <c r="AA65" i="11"/>
  <c r="Z64" i="11"/>
  <c r="AA73" i="11"/>
  <c r="Q63" i="11"/>
  <c r="U67" i="11"/>
  <c r="Y71" i="11"/>
  <c r="Z72" i="11"/>
  <c r="P62" i="11"/>
  <c r="T66" i="11"/>
  <c r="X70" i="11"/>
  <c r="O61" i="11"/>
  <c r="S65" i="11"/>
  <c r="W69" i="11"/>
  <c r="R64" i="11"/>
  <c r="V68" i="11"/>
  <c r="X63" i="11"/>
  <c r="W62" i="11"/>
  <c r="AA66" i="11"/>
  <c r="V61" i="11"/>
  <c r="Z65" i="11"/>
  <c r="Y64" i="11"/>
  <c r="Z73" i="11"/>
  <c r="P63" i="11"/>
  <c r="T67" i="11"/>
  <c r="X71" i="11"/>
  <c r="Y72" i="11"/>
  <c r="O62" i="11"/>
  <c r="S66" i="11"/>
  <c r="W70" i="11"/>
  <c r="N61" i="11"/>
  <c r="R65" i="11"/>
  <c r="V69" i="11"/>
  <c r="AA74" i="11"/>
  <c r="Q64" i="11"/>
  <c r="U68" i="11"/>
  <c r="H82" i="11"/>
  <c r="B51" i="13"/>
  <c r="C50" i="13"/>
  <c r="AY79" i="11"/>
  <c r="AZ79" i="11"/>
  <c r="AX79" i="11"/>
  <c r="AU71" i="11"/>
  <c r="AR71" i="11"/>
  <c r="AP71" i="11"/>
  <c r="AY71" i="11"/>
  <c r="AX71" i="11"/>
  <c r="AQ71" i="11"/>
  <c r="AS71" i="11"/>
  <c r="AT71" i="11"/>
  <c r="AV71" i="11"/>
  <c r="AZ71" i="11"/>
  <c r="AW71" i="11"/>
  <c r="AT75" i="11"/>
  <c r="AW75" i="11"/>
  <c r="AX75" i="11"/>
  <c r="AY75" i="11"/>
  <c r="AZ75" i="11"/>
  <c r="AV75" i="11"/>
  <c r="AU75" i="11"/>
  <c r="AP67" i="11"/>
  <c r="AQ67" i="11"/>
  <c r="AL67" i="11"/>
  <c r="AS67" i="11"/>
  <c r="AW67" i="11"/>
  <c r="AU67" i="11"/>
  <c r="AY67" i="11"/>
  <c r="AT67" i="11"/>
  <c r="AM67" i="11"/>
  <c r="AO67" i="11"/>
  <c r="AV67" i="11"/>
  <c r="AX67" i="11"/>
  <c r="AR67" i="11"/>
  <c r="AZ67" i="11"/>
  <c r="AN67" i="11"/>
  <c r="AM68" i="11"/>
  <c r="AV68" i="11"/>
  <c r="AO68" i="11"/>
  <c r="AQ68" i="11"/>
  <c r="AX68" i="11"/>
  <c r="AU68" i="11"/>
  <c r="AT68" i="11"/>
  <c r="AP68" i="11"/>
  <c r="AY68" i="11"/>
  <c r="AN68" i="11"/>
  <c r="AW68" i="11"/>
  <c r="AR68" i="11"/>
  <c r="AS68" i="11"/>
  <c r="AZ68" i="11"/>
  <c r="AP70" i="11"/>
  <c r="AQ70" i="11"/>
  <c r="AU70" i="11"/>
  <c r="AX70" i="11"/>
  <c r="AY70" i="11"/>
  <c r="AS70" i="11"/>
  <c r="AO70" i="11"/>
  <c r="AT70" i="11"/>
  <c r="AW70" i="11"/>
  <c r="AV70" i="11"/>
  <c r="AR70" i="11"/>
  <c r="AZ70" i="11"/>
  <c r="AY63" i="11"/>
  <c r="AQ63" i="11"/>
  <c r="AI63" i="11"/>
  <c r="AX63" i="11"/>
  <c r="AP63" i="11"/>
  <c r="AH63" i="11"/>
  <c r="AZ63" i="11"/>
  <c r="AJ63" i="11"/>
  <c r="AR63" i="11"/>
  <c r="AW63" i="11"/>
  <c r="AK63" i="11"/>
  <c r="AO63" i="11"/>
  <c r="AM63" i="11"/>
  <c r="AT63" i="11"/>
  <c r="AV63" i="11"/>
  <c r="AL63" i="11"/>
  <c r="AU63" i="11"/>
  <c r="AS63" i="11"/>
  <c r="AN63" i="11"/>
  <c r="AQ64" i="11"/>
  <c r="AM64" i="11"/>
  <c r="AL64" i="11"/>
  <c r="AP64" i="11"/>
  <c r="AT64" i="11"/>
  <c r="AO64" i="11"/>
  <c r="AN64" i="11"/>
  <c r="AJ64" i="11"/>
  <c r="AK64" i="11"/>
  <c r="AV64" i="11"/>
  <c r="AU64" i="11"/>
  <c r="AR64" i="11"/>
  <c r="AI64" i="11"/>
  <c r="AZ64" i="11"/>
  <c r="AY64" i="11"/>
  <c r="AX64" i="11"/>
  <c r="AW64" i="11"/>
  <c r="AS64" i="11"/>
  <c r="AV66" i="11"/>
  <c r="AY66" i="11"/>
  <c r="AO66" i="11"/>
  <c r="AW66" i="11"/>
  <c r="AL66" i="11"/>
  <c r="AM66" i="11"/>
  <c r="AS66" i="11"/>
  <c r="AP66" i="11"/>
  <c r="AR66" i="11"/>
  <c r="AK66" i="11"/>
  <c r="AQ66" i="11"/>
  <c r="AT66" i="11"/>
  <c r="AU66" i="11"/>
  <c r="AZ66" i="11"/>
  <c r="AN66" i="11"/>
  <c r="AX66" i="11"/>
  <c r="AW65" i="11"/>
  <c r="AO65" i="11"/>
  <c r="AV65" i="11"/>
  <c r="AN65" i="11"/>
  <c r="AX65" i="11"/>
  <c r="AP65" i="11"/>
  <c r="AU65" i="11"/>
  <c r="AY65" i="11"/>
  <c r="AZ65" i="11"/>
  <c r="AM65" i="11"/>
  <c r="AS65" i="11"/>
  <c r="AQ65" i="11"/>
  <c r="AR65" i="11"/>
  <c r="AT65" i="11"/>
  <c r="AL65" i="11"/>
  <c r="AK65" i="11"/>
  <c r="AJ65" i="11"/>
  <c r="AX78" i="11"/>
  <c r="AZ78" i="11"/>
  <c r="AY78" i="11"/>
  <c r="AW78" i="11"/>
  <c r="AV62" i="11"/>
  <c r="AN62" i="11"/>
  <c r="AU62" i="11"/>
  <c r="AM62" i="11"/>
  <c r="AG62" i="11"/>
  <c r="AW62" i="11"/>
  <c r="AO62" i="11"/>
  <c r="AH62" i="11"/>
  <c r="AQ62" i="11"/>
  <c r="AZ62" i="11"/>
  <c r="AK62" i="11"/>
  <c r="AT62" i="11"/>
  <c r="AP62" i="11"/>
  <c r="AY62" i="11"/>
  <c r="AL62" i="11"/>
  <c r="AJ62" i="11"/>
  <c r="AI62" i="11"/>
  <c r="AR62" i="11"/>
  <c r="AX62" i="11"/>
  <c r="AS62" i="11"/>
  <c r="AV77" i="11"/>
  <c r="AZ77" i="11"/>
  <c r="AW77" i="11"/>
  <c r="AY77" i="11"/>
  <c r="AX77" i="11"/>
  <c r="AY74" i="11"/>
  <c r="AT74" i="11"/>
  <c r="AS74" i="11"/>
  <c r="AW74" i="11"/>
  <c r="AX74" i="11"/>
  <c r="AV74" i="11"/>
  <c r="AZ74" i="11"/>
  <c r="AU74" i="11"/>
  <c r="AZ80" i="11"/>
  <c r="AY80" i="11"/>
  <c r="AU73" i="11"/>
  <c r="AT73" i="11"/>
  <c r="AY73" i="11"/>
  <c r="AR73" i="11"/>
  <c r="AZ73" i="11"/>
  <c r="AW73" i="11"/>
  <c r="AS73" i="11"/>
  <c r="AV73" i="11"/>
  <c r="AX73" i="11"/>
  <c r="AR72" i="11"/>
  <c r="AX72" i="11"/>
  <c r="AZ72" i="11"/>
  <c r="AV72" i="11"/>
  <c r="AY72" i="11"/>
  <c r="AU72" i="11"/>
  <c r="AS72" i="11"/>
  <c r="AW72" i="11"/>
  <c r="AT72" i="11"/>
  <c r="AQ72" i="11"/>
  <c r="AS69" i="11"/>
  <c r="AX69" i="11"/>
  <c r="AO69" i="11"/>
  <c r="AW69" i="11"/>
  <c r="AN69" i="11"/>
  <c r="AZ69" i="11"/>
  <c r="AU69" i="11"/>
  <c r="AV69" i="11"/>
  <c r="AQ69" i="11"/>
  <c r="AT69" i="11"/>
  <c r="AP69" i="11"/>
  <c r="AY69" i="11"/>
  <c r="AR69" i="11"/>
  <c r="AV76" i="11"/>
  <c r="AY76" i="11"/>
  <c r="AW76" i="11"/>
  <c r="AU76" i="11"/>
  <c r="AX76" i="11"/>
  <c r="AZ76" i="11"/>
  <c r="AS61" i="11"/>
  <c r="AZ61" i="11"/>
  <c r="AR61" i="11"/>
  <c r="AJ61" i="11"/>
  <c r="AY61" i="11"/>
  <c r="AQ61" i="11"/>
  <c r="AI61" i="11"/>
  <c r="AX61" i="11"/>
  <c r="AP61" i="11"/>
  <c r="AH61" i="11"/>
  <c r="AW61" i="11"/>
  <c r="AO61" i="11"/>
  <c r="AG61" i="11"/>
  <c r="AV61" i="11"/>
  <c r="AN61" i="11"/>
  <c r="AF61" i="11"/>
  <c r="AL61" i="11"/>
  <c r="AK61" i="11"/>
  <c r="AU61" i="11"/>
  <c r="AM61" i="11"/>
  <c r="AT61" i="11"/>
  <c r="X82" i="11"/>
  <c r="I82" i="11"/>
  <c r="AF82" i="11"/>
  <c r="G82" i="11"/>
  <c r="O82" i="11"/>
  <c r="Y82" i="11"/>
  <c r="K82" i="11"/>
  <c r="M82" i="11"/>
  <c r="Q82" i="11"/>
  <c r="Z82" i="11"/>
  <c r="T82" i="11"/>
  <c r="V82" i="11"/>
  <c r="S82" i="11"/>
  <c r="P82" i="11"/>
  <c r="L82" i="11"/>
  <c r="U82" i="11"/>
  <c r="W82" i="11"/>
  <c r="J82" i="11"/>
  <c r="N82" i="11"/>
  <c r="R82" i="11"/>
  <c r="AA82" i="11"/>
  <c r="B52" i="13"/>
  <c r="C51" i="13"/>
  <c r="AH82" i="11"/>
  <c r="AL82" i="11"/>
  <c r="AK82" i="11"/>
  <c r="AZ82" i="11"/>
  <c r="AP82" i="11"/>
  <c r="AS82" i="11"/>
  <c r="AX82" i="11"/>
  <c r="AV82" i="11"/>
  <c r="AM82" i="11"/>
  <c r="AI82" i="11"/>
  <c r="AT82" i="11"/>
  <c r="AY82" i="11"/>
  <c r="AG82" i="11"/>
  <c r="AN82" i="11"/>
  <c r="AR82" i="11"/>
  <c r="AO82" i="11"/>
  <c r="AJ82" i="11"/>
  <c r="AU82" i="11"/>
  <c r="AQ82" i="11"/>
  <c r="AW82" i="11"/>
  <c r="B53" i="13"/>
  <c r="C52" i="13"/>
  <c r="Y43" i="9"/>
  <c r="F20" i="9"/>
  <c r="Z44" i="9"/>
  <c r="F16" i="9"/>
  <c r="Z33" i="9"/>
  <c r="H16" i="9"/>
  <c r="AB35" i="9"/>
  <c r="I16" i="9"/>
  <c r="AC36" i="9"/>
  <c r="S6" i="10"/>
  <c r="Y20" i="9"/>
  <c r="W20" i="9"/>
  <c r="V20" i="9"/>
  <c r="T20" i="9"/>
  <c r="Y19" i="9"/>
  <c r="W19" i="9"/>
  <c r="V19" i="9"/>
  <c r="T19" i="9"/>
  <c r="Y18" i="9"/>
  <c r="W18" i="9"/>
  <c r="V18" i="9"/>
  <c r="T18" i="9"/>
  <c r="Y17" i="9"/>
  <c r="W17" i="9"/>
  <c r="V17" i="9"/>
  <c r="T17" i="9"/>
  <c r="Y16" i="9"/>
  <c r="W16" i="9"/>
  <c r="V16" i="9"/>
  <c r="T16" i="9"/>
  <c r="F42" i="9"/>
  <c r="G20" i="9"/>
  <c r="G41" i="9"/>
  <c r="H20" i="9"/>
  <c r="H41" i="9"/>
  <c r="I20" i="9"/>
  <c r="I41" i="9"/>
  <c r="J20" i="9"/>
  <c r="J41" i="9"/>
  <c r="K20" i="9"/>
  <c r="K43" i="9"/>
  <c r="L20" i="9"/>
  <c r="L44" i="9"/>
  <c r="M20" i="9"/>
  <c r="M43" i="9"/>
  <c r="F21" i="9"/>
  <c r="Z125" i="9"/>
  <c r="G21" i="9"/>
  <c r="AA122" i="9"/>
  <c r="H21" i="9"/>
  <c r="AB122" i="9"/>
  <c r="I21" i="9"/>
  <c r="AC124" i="9"/>
  <c r="J21" i="9"/>
  <c r="AD124" i="9"/>
  <c r="K21" i="9"/>
  <c r="AE124" i="9"/>
  <c r="L21" i="9"/>
  <c r="AF123" i="9"/>
  <c r="M21" i="9"/>
  <c r="AG123" i="9"/>
  <c r="Y123" i="9"/>
  <c r="F36" i="9"/>
  <c r="G16" i="9"/>
  <c r="G35" i="9"/>
  <c r="H34" i="9"/>
  <c r="I33" i="9"/>
  <c r="J16" i="9"/>
  <c r="J33" i="9"/>
  <c r="K16" i="9"/>
  <c r="K33" i="9"/>
  <c r="L16" i="9"/>
  <c r="L33" i="9"/>
  <c r="M16" i="9"/>
  <c r="M35" i="9"/>
  <c r="F17" i="9"/>
  <c r="Z115" i="9"/>
  <c r="G17" i="9"/>
  <c r="AA115" i="9"/>
  <c r="H17" i="9"/>
  <c r="AB117" i="9"/>
  <c r="I17" i="9"/>
  <c r="AC114" i="9"/>
  <c r="J17" i="9"/>
  <c r="AD114" i="9"/>
  <c r="K17" i="9"/>
  <c r="AE116" i="9"/>
  <c r="L17" i="9"/>
  <c r="AF116" i="9"/>
  <c r="M17" i="9"/>
  <c r="AG116" i="9"/>
  <c r="Y116" i="9"/>
  <c r="T66" i="10"/>
  <c r="S65" i="10"/>
  <c r="S66" i="10"/>
  <c r="T65" i="10"/>
  <c r="AA34" i="9"/>
  <c r="AB36" i="9"/>
  <c r="AC33" i="9"/>
  <c r="Y44" i="9"/>
  <c r="AA41" i="9"/>
  <c r="AG41" i="9"/>
  <c r="AA36" i="9"/>
  <c r="AB33" i="9"/>
  <c r="AG43" i="9"/>
  <c r="Y41" i="9"/>
  <c r="AC35" i="9"/>
  <c r="AA33" i="9"/>
  <c r="AA43" i="9"/>
  <c r="AA35" i="9"/>
  <c r="AA51" i="9"/>
  <c r="AG40" i="9"/>
  <c r="AG42" i="9"/>
  <c r="AC34" i="9"/>
  <c r="AC42" i="9"/>
  <c r="AC50" i="9"/>
  <c r="Z40" i="9"/>
  <c r="AA42" i="9"/>
  <c r="H121" i="9"/>
  <c r="AB34" i="9"/>
  <c r="AG44" i="9"/>
  <c r="Y42" i="9"/>
  <c r="AB32" i="9"/>
  <c r="AF40" i="9"/>
  <c r="AF44" i="9"/>
  <c r="Y32" i="9"/>
  <c r="AA32" i="9"/>
  <c r="Y36" i="9"/>
  <c r="Y52" i="9"/>
  <c r="Y35" i="9"/>
  <c r="Y51" i="9"/>
  <c r="Y34" i="9"/>
  <c r="Y50" i="9"/>
  <c r="AE40" i="9"/>
  <c r="AE44" i="9"/>
  <c r="AF43" i="9"/>
  <c r="AF42" i="9"/>
  <c r="AF41" i="9"/>
  <c r="AG36" i="9"/>
  <c r="AG52" i="9"/>
  <c r="AG35" i="9"/>
  <c r="AG34" i="9"/>
  <c r="AG50" i="9"/>
  <c r="AG33" i="9"/>
  <c r="Y33" i="9"/>
  <c r="Y49" i="9"/>
  <c r="AD40" i="9"/>
  <c r="AD44" i="9"/>
  <c r="AE43" i="9"/>
  <c r="AE35" i="9"/>
  <c r="AE51" i="9"/>
  <c r="AE42" i="9"/>
  <c r="AE34" i="9"/>
  <c r="AE50" i="9"/>
  <c r="AE41" i="9"/>
  <c r="AG32" i="9"/>
  <c r="AG48" i="9"/>
  <c r="AF36" i="9"/>
  <c r="AF52" i="9"/>
  <c r="AF35" i="9"/>
  <c r="AF51" i="9"/>
  <c r="L116" i="9"/>
  <c r="L124" i="9"/>
  <c r="L132" i="9"/>
  <c r="AF34" i="9"/>
  <c r="AF33" i="9"/>
  <c r="AC40" i="9"/>
  <c r="AC44" i="9"/>
  <c r="AC52" i="9"/>
  <c r="AD43" i="9"/>
  <c r="AD42" i="9"/>
  <c r="AD41" i="9"/>
  <c r="AD33" i="9"/>
  <c r="AD49" i="9"/>
  <c r="AF32" i="9"/>
  <c r="AF48" i="9"/>
  <c r="AE36" i="9"/>
  <c r="AE33" i="9"/>
  <c r="Y40" i="9"/>
  <c r="AB40" i="9"/>
  <c r="AB44" i="9"/>
  <c r="AB52" i="9"/>
  <c r="AC43" i="9"/>
  <c r="AC51" i="9"/>
  <c r="AC41" i="9"/>
  <c r="AC49" i="9"/>
  <c r="AD32" i="9"/>
  <c r="AC32" i="9"/>
  <c r="AC48" i="9"/>
  <c r="AE32" i="9"/>
  <c r="AD36" i="9"/>
  <c r="AD52" i="9"/>
  <c r="AD35" i="9"/>
  <c r="AD51" i="9"/>
  <c r="AD34" i="9"/>
  <c r="AD50" i="9"/>
  <c r="AA40" i="9"/>
  <c r="AA44" i="9"/>
  <c r="AB43" i="9"/>
  <c r="AB51" i="9"/>
  <c r="AB42" i="9"/>
  <c r="AB41" i="9"/>
  <c r="AB49" i="9"/>
  <c r="Z34" i="9"/>
  <c r="Z43" i="9"/>
  <c r="Z42" i="9"/>
  <c r="Z41" i="9"/>
  <c r="Z49" i="9"/>
  <c r="Z32" i="9"/>
  <c r="Z48" i="9"/>
  <c r="Z36" i="9"/>
  <c r="Z52" i="9"/>
  <c r="Z35" i="9"/>
  <c r="B54" i="13"/>
  <c r="C53" i="13"/>
  <c r="AA52" i="9"/>
  <c r="Y48" i="9"/>
  <c r="AF49" i="9"/>
  <c r="AG49" i="9"/>
  <c r="AF50" i="9"/>
  <c r="E114" i="9"/>
  <c r="G117" i="9"/>
  <c r="J43" i="9"/>
  <c r="H117" i="9"/>
  <c r="K114" i="9"/>
  <c r="I117" i="9"/>
  <c r="M123" i="9"/>
  <c r="I115" i="9"/>
  <c r="F121" i="9"/>
  <c r="K124" i="9"/>
  <c r="J114" i="9"/>
  <c r="J115" i="9"/>
  <c r="L123" i="9"/>
  <c r="K42" i="9"/>
  <c r="E113" i="9"/>
  <c r="H116" i="9"/>
  <c r="I121" i="9"/>
  <c r="J125" i="9"/>
  <c r="J42" i="9"/>
  <c r="F113" i="9"/>
  <c r="I116" i="9"/>
  <c r="E122" i="9"/>
  <c r="K125" i="9"/>
  <c r="M122" i="9"/>
  <c r="K113" i="9"/>
  <c r="J116" i="9"/>
  <c r="H122" i="9"/>
  <c r="L125" i="9"/>
  <c r="L114" i="9"/>
  <c r="K115" i="9"/>
  <c r="G122" i="9"/>
  <c r="F123" i="9"/>
  <c r="M124" i="9"/>
  <c r="M114" i="9"/>
  <c r="L115" i="9"/>
  <c r="K116" i="9"/>
  <c r="J117" i="9"/>
  <c r="G123" i="9"/>
  <c r="F124" i="9"/>
  <c r="E125" i="9"/>
  <c r="M125" i="9"/>
  <c r="G113" i="9"/>
  <c r="F114" i="9"/>
  <c r="E115" i="9"/>
  <c r="M115" i="9"/>
  <c r="M131" i="9"/>
  <c r="K117" i="9"/>
  <c r="K133" i="9"/>
  <c r="J121" i="9"/>
  <c r="I122" i="9"/>
  <c r="H123" i="9"/>
  <c r="G124" i="9"/>
  <c r="F125" i="9"/>
  <c r="G121" i="9"/>
  <c r="E123" i="9"/>
  <c r="M113" i="9"/>
  <c r="E124" i="9"/>
  <c r="M34" i="9"/>
  <c r="H113" i="9"/>
  <c r="H129" i="9"/>
  <c r="G114" i="9"/>
  <c r="F115" i="9"/>
  <c r="E116" i="9"/>
  <c r="M116" i="9"/>
  <c r="L117" i="9"/>
  <c r="L133" i="9"/>
  <c r="K121" i="9"/>
  <c r="J122" i="9"/>
  <c r="I123" i="9"/>
  <c r="H124" i="9"/>
  <c r="G125" i="9"/>
  <c r="L113" i="9"/>
  <c r="F122" i="9"/>
  <c r="L34" i="9"/>
  <c r="I113" i="9"/>
  <c r="H114" i="9"/>
  <c r="G115" i="9"/>
  <c r="F116" i="9"/>
  <c r="E117" i="9"/>
  <c r="M117" i="9"/>
  <c r="L121" i="9"/>
  <c r="K122" i="9"/>
  <c r="J123" i="9"/>
  <c r="I124" i="9"/>
  <c r="H125" i="9"/>
  <c r="F33" i="9"/>
  <c r="J113" i="9"/>
  <c r="I114" i="9"/>
  <c r="H115" i="9"/>
  <c r="G116" i="9"/>
  <c r="F117" i="9"/>
  <c r="F133" i="9"/>
  <c r="E121" i="9"/>
  <c r="M121" i="9"/>
  <c r="L122" i="9"/>
  <c r="K123" i="9"/>
  <c r="J124" i="9"/>
  <c r="I125" i="9"/>
  <c r="I133" i="9"/>
  <c r="AE132" i="9"/>
  <c r="I40" i="9"/>
  <c r="L41" i="9"/>
  <c r="L49" i="9"/>
  <c r="L35" i="9"/>
  <c r="H40" i="9"/>
  <c r="K41" i="9"/>
  <c r="K49" i="9"/>
  <c r="I44" i="9"/>
  <c r="H44" i="9"/>
  <c r="M33" i="9"/>
  <c r="I43" i="9"/>
  <c r="K36" i="9"/>
  <c r="M32" i="9"/>
  <c r="M36" i="9"/>
  <c r="E36" i="9"/>
  <c r="F35" i="9"/>
  <c r="G34" i="9"/>
  <c r="G42" i="9"/>
  <c r="G50" i="9"/>
  <c r="H33" i="9"/>
  <c r="K40" i="9"/>
  <c r="K44" i="9"/>
  <c r="L43" i="9"/>
  <c r="M42" i="9"/>
  <c r="F41" i="9"/>
  <c r="K32" i="9"/>
  <c r="L32" i="9"/>
  <c r="L36" i="9"/>
  <c r="L52" i="9"/>
  <c r="F34" i="9"/>
  <c r="F50" i="9"/>
  <c r="G33" i="9"/>
  <c r="G49" i="9"/>
  <c r="J40" i="9"/>
  <c r="J44" i="9"/>
  <c r="L42" i="9"/>
  <c r="M41" i="9"/>
  <c r="J32" i="9"/>
  <c r="K35" i="9"/>
  <c r="K51" i="9"/>
  <c r="I32" i="9"/>
  <c r="I36" i="9"/>
  <c r="I52" i="9"/>
  <c r="J35" i="9"/>
  <c r="K34" i="9"/>
  <c r="K50" i="9"/>
  <c r="G40" i="9"/>
  <c r="G44" i="9"/>
  <c r="H43" i="9"/>
  <c r="I42" i="9"/>
  <c r="J36" i="9"/>
  <c r="H32" i="9"/>
  <c r="H36" i="9"/>
  <c r="I35" i="9"/>
  <c r="J34" i="9"/>
  <c r="F40" i="9"/>
  <c r="F44" i="9"/>
  <c r="F52" i="9"/>
  <c r="G43" i="9"/>
  <c r="G51" i="9"/>
  <c r="H42" i="9"/>
  <c r="H50" i="9"/>
  <c r="G32" i="9"/>
  <c r="G36" i="9"/>
  <c r="H35" i="9"/>
  <c r="I34" i="9"/>
  <c r="M40" i="9"/>
  <c r="M44" i="9"/>
  <c r="E44" i="9"/>
  <c r="F43" i="9"/>
  <c r="F32" i="9"/>
  <c r="L40" i="9"/>
  <c r="L48" i="9"/>
  <c r="U65" i="10"/>
  <c r="J49" i="9"/>
  <c r="M50" i="9"/>
  <c r="M51" i="9"/>
  <c r="H49" i="9"/>
  <c r="I49" i="9"/>
  <c r="AE113" i="9"/>
  <c r="AG117" i="9"/>
  <c r="AC121" i="9"/>
  <c r="Y117" i="9"/>
  <c r="AE125" i="9"/>
  <c r="AB116" i="9"/>
  <c r="AE115" i="9"/>
  <c r="Z124" i="9"/>
  <c r="AC123" i="9"/>
  <c r="E18" i="9"/>
  <c r="E73" i="9"/>
  <c r="E22" i="9"/>
  <c r="Z114" i="9"/>
  <c r="AG113" i="9"/>
  <c r="AA117" i="9"/>
  <c r="AD116" i="9"/>
  <c r="AD132" i="9"/>
  <c r="AG115" i="9"/>
  <c r="AG131" i="9"/>
  <c r="Y115" i="9"/>
  <c r="Y131" i="9"/>
  <c r="AB114" i="9"/>
  <c r="AB130" i="9"/>
  <c r="AE121" i="9"/>
  <c r="AG125" i="9"/>
  <c r="Y125" i="9"/>
  <c r="AB124" i="9"/>
  <c r="AE123" i="9"/>
  <c r="Z122" i="9"/>
  <c r="AF113" i="9"/>
  <c r="Z117" i="9"/>
  <c r="Z133" i="9"/>
  <c r="AC116" i="9"/>
  <c r="AC132" i="9"/>
  <c r="AF115" i="9"/>
  <c r="AF131" i="9"/>
  <c r="AA114" i="9"/>
  <c r="AA130" i="9"/>
  <c r="AD121" i="9"/>
  <c r="AF125" i="9"/>
  <c r="AA124" i="9"/>
  <c r="AD123" i="9"/>
  <c r="AG122" i="9"/>
  <c r="Y122" i="9"/>
  <c r="AD113" i="9"/>
  <c r="AF117" i="9"/>
  <c r="AA116" i="9"/>
  <c r="AD115" i="9"/>
  <c r="AG114" i="9"/>
  <c r="Y114" i="9"/>
  <c r="AB121" i="9"/>
  <c r="AD125" i="9"/>
  <c r="AG124" i="9"/>
  <c r="AG132" i="9"/>
  <c r="Y124" i="9"/>
  <c r="Y132" i="9"/>
  <c r="AB123" i="9"/>
  <c r="AE122" i="9"/>
  <c r="AC113" i="9"/>
  <c r="AE117" i="9"/>
  <c r="Z116" i="9"/>
  <c r="AC115" i="9"/>
  <c r="AF114" i="9"/>
  <c r="AA121" i="9"/>
  <c r="AC125" i="9"/>
  <c r="AF124" i="9"/>
  <c r="AF132" i="9"/>
  <c r="AA123" i="9"/>
  <c r="AA131" i="9"/>
  <c r="AD122" i="9"/>
  <c r="AD130" i="9"/>
  <c r="I29" i="10"/>
  <c r="AB113" i="9"/>
  <c r="AD117" i="9"/>
  <c r="AB115" i="9"/>
  <c r="AE114" i="9"/>
  <c r="Z121" i="9"/>
  <c r="AB125" i="9"/>
  <c r="AB133" i="9"/>
  <c r="Z123" i="9"/>
  <c r="Z131" i="9"/>
  <c r="AC122" i="9"/>
  <c r="AC130" i="9"/>
  <c r="AF122" i="9"/>
  <c r="AA113" i="9"/>
  <c r="AC117" i="9"/>
  <c r="AG121" i="9"/>
  <c r="AA125" i="9"/>
  <c r="Z113" i="9"/>
  <c r="AF121" i="9"/>
  <c r="AB48" i="9"/>
  <c r="L131" i="9"/>
  <c r="M49" i="9"/>
  <c r="AB50" i="9"/>
  <c r="AG51" i="9"/>
  <c r="AA49" i="9"/>
  <c r="I132" i="9"/>
  <c r="E52" i="9"/>
  <c r="AA50" i="9"/>
  <c r="M52" i="9"/>
  <c r="J132" i="9"/>
  <c r="H133" i="9"/>
  <c r="AE48" i="9"/>
  <c r="H130" i="9"/>
  <c r="G132" i="9"/>
  <c r="H132" i="9"/>
  <c r="K130" i="9"/>
  <c r="AE49" i="9"/>
  <c r="E130" i="9"/>
  <c r="AA48" i="9"/>
  <c r="J131" i="9"/>
  <c r="M132" i="9"/>
  <c r="I48" i="9"/>
  <c r="J50" i="9"/>
  <c r="AE52" i="9"/>
  <c r="AD48" i="9"/>
  <c r="J129" i="9"/>
  <c r="F129" i="9"/>
  <c r="Z50" i="9"/>
  <c r="Z51" i="9"/>
  <c r="B55" i="13"/>
  <c r="C54" i="13"/>
  <c r="I130" i="9"/>
  <c r="F48" i="9"/>
  <c r="J48" i="9"/>
  <c r="H48" i="9"/>
  <c r="I50" i="9"/>
  <c r="I51" i="9"/>
  <c r="E133" i="9"/>
  <c r="G133" i="9"/>
  <c r="F132" i="9"/>
  <c r="E129" i="9"/>
  <c r="I131" i="9"/>
  <c r="J51" i="9"/>
  <c r="J52" i="9"/>
  <c r="M130" i="9"/>
  <c r="M24" i="10"/>
  <c r="N24" i="10"/>
  <c r="M32" i="10"/>
  <c r="E6" i="10"/>
  <c r="F6" i="10"/>
  <c r="M7" i="10"/>
  <c r="M14" i="10"/>
  <c r="Q6" i="10"/>
  <c r="R6" i="10"/>
  <c r="I27" i="10"/>
  <c r="I9" i="10"/>
  <c r="I6" i="10"/>
  <c r="J6" i="10"/>
  <c r="I10" i="10"/>
  <c r="M25" i="10"/>
  <c r="I11" i="10"/>
  <c r="I8" i="10"/>
  <c r="M26" i="10"/>
  <c r="M31" i="10"/>
  <c r="G130" i="9"/>
  <c r="K132" i="9"/>
  <c r="J133" i="9"/>
  <c r="L130" i="9"/>
  <c r="K52" i="9"/>
  <c r="G48" i="9"/>
  <c r="F49" i="9"/>
  <c r="J130" i="9"/>
  <c r="G129" i="9"/>
  <c r="F131" i="9"/>
  <c r="I129" i="9"/>
  <c r="K129" i="9"/>
  <c r="M129" i="9"/>
  <c r="G52" i="9"/>
  <c r="L50" i="9"/>
  <c r="M133" i="9"/>
  <c r="L129" i="9"/>
  <c r="E132" i="9"/>
  <c r="G131" i="9"/>
  <c r="E131" i="9"/>
  <c r="L51" i="9"/>
  <c r="M48" i="9"/>
  <c r="H131" i="9"/>
  <c r="F130" i="9"/>
  <c r="K131" i="9"/>
  <c r="AC131" i="9"/>
  <c r="F18" i="9"/>
  <c r="F72" i="9"/>
  <c r="H52" i="9"/>
  <c r="F51" i="9"/>
  <c r="AB129" i="9"/>
  <c r="K48" i="9"/>
  <c r="AC129" i="9"/>
  <c r="H51" i="9"/>
  <c r="U66" i="10"/>
  <c r="AD129" i="9"/>
  <c r="Y133" i="9"/>
  <c r="AA129" i="9"/>
  <c r="Z130" i="9"/>
  <c r="Z132" i="9"/>
  <c r="AE133" i="9"/>
  <c r="Z129" i="9"/>
  <c r="Y130" i="9"/>
  <c r="AE130" i="9"/>
  <c r="AA132" i="9"/>
  <c r="AE129" i="9"/>
  <c r="AF129" i="9"/>
  <c r="AG130" i="9"/>
  <c r="AD131" i="9"/>
  <c r="AC133" i="9"/>
  <c r="AB131" i="9"/>
  <c r="AA133" i="9"/>
  <c r="AB132" i="9"/>
  <c r="AE131" i="9"/>
  <c r="AD133" i="9"/>
  <c r="AF130" i="9"/>
  <c r="AF133" i="9"/>
  <c r="AG129" i="9"/>
  <c r="AG133" i="9"/>
  <c r="E72" i="9"/>
  <c r="E76" i="9"/>
  <c r="E74" i="9"/>
  <c r="E75" i="9"/>
  <c r="E83" i="9"/>
  <c r="E82" i="9"/>
  <c r="E81" i="9"/>
  <c r="E89" i="9"/>
  <c r="F22" i="9"/>
  <c r="E80" i="9"/>
  <c r="E24" i="9"/>
  <c r="E84" i="9"/>
  <c r="M42" i="10"/>
  <c r="T48" i="10"/>
  <c r="T10" i="10"/>
  <c r="I42" i="10"/>
  <c r="T47" i="10"/>
  <c r="I47" i="10"/>
  <c r="I45" i="10"/>
  <c r="M44" i="10"/>
  <c r="E46" i="10"/>
  <c r="T44" i="10"/>
  <c r="T45" i="10"/>
  <c r="I44" i="10"/>
  <c r="M45" i="10"/>
  <c r="I43" i="10"/>
  <c r="Q45" i="10"/>
  <c r="M46" i="10"/>
  <c r="Q42" i="10"/>
  <c r="I40" i="10"/>
  <c r="J40" i="10"/>
  <c r="Q46" i="10"/>
  <c r="T40" i="10"/>
  <c r="E44" i="10"/>
  <c r="M48" i="10"/>
  <c r="E43" i="10"/>
  <c r="I48" i="10"/>
  <c r="Q48" i="10"/>
  <c r="T43" i="10"/>
  <c r="H49" i="10"/>
  <c r="E41" i="10"/>
  <c r="P49" i="10"/>
  <c r="L49" i="10"/>
  <c r="B56" i="13"/>
  <c r="C55" i="13"/>
  <c r="T11" i="10"/>
  <c r="Q44" i="10"/>
  <c r="I26" i="10"/>
  <c r="S26" i="10"/>
  <c r="E47" i="10"/>
  <c r="S30" i="10"/>
  <c r="E30" i="10"/>
  <c r="E29" i="10"/>
  <c r="M9" i="10"/>
  <c r="G33" i="10"/>
  <c r="S46" i="10"/>
  <c r="M28" i="10"/>
  <c r="M10" i="10"/>
  <c r="M40" i="10"/>
  <c r="M43" i="10"/>
  <c r="K33" i="10"/>
  <c r="M12" i="10"/>
  <c r="I12" i="10"/>
  <c r="S24" i="10"/>
  <c r="C33" i="10"/>
  <c r="S32" i="10"/>
  <c r="E32" i="10"/>
  <c r="E25" i="10"/>
  <c r="N25" i="10"/>
  <c r="N26" i="10"/>
  <c r="I28" i="10"/>
  <c r="Q47" i="10"/>
  <c r="M11" i="10"/>
  <c r="Q40" i="10"/>
  <c r="I31" i="10"/>
  <c r="I13" i="10"/>
  <c r="I14" i="10"/>
  <c r="S27" i="10"/>
  <c r="E27" i="10"/>
  <c r="E40" i="10"/>
  <c r="T7" i="10"/>
  <c r="I7" i="10"/>
  <c r="H15" i="10"/>
  <c r="T14" i="10"/>
  <c r="M13" i="10"/>
  <c r="M47" i="10"/>
  <c r="S45" i="10"/>
  <c r="E45" i="10"/>
  <c r="U45" i="10"/>
  <c r="T8" i="10"/>
  <c r="T13" i="10"/>
  <c r="M6" i="10"/>
  <c r="N6" i="10"/>
  <c r="L15" i="10"/>
  <c r="F73" i="9"/>
  <c r="G18" i="9"/>
  <c r="G75" i="9"/>
  <c r="F75" i="9"/>
  <c r="F24" i="9"/>
  <c r="F74" i="9"/>
  <c r="T9" i="10"/>
  <c r="F76" i="9"/>
  <c r="T12" i="10"/>
  <c r="D15" i="10"/>
  <c r="P15" i="10"/>
  <c r="E88" i="9"/>
  <c r="E91" i="9"/>
  <c r="E90" i="9"/>
  <c r="E92" i="9"/>
  <c r="G22" i="9"/>
  <c r="F82" i="9"/>
  <c r="F84" i="9"/>
  <c r="F81" i="9"/>
  <c r="F83" i="9"/>
  <c r="F80" i="9"/>
  <c r="F88" i="9"/>
  <c r="D49" i="10"/>
  <c r="T49" i="10"/>
  <c r="T42" i="10"/>
  <c r="I46" i="10"/>
  <c r="T46" i="10"/>
  <c r="U46" i="10"/>
  <c r="U44" i="10"/>
  <c r="M41" i="10"/>
  <c r="Q41" i="10"/>
  <c r="F89" i="9"/>
  <c r="S44" i="10"/>
  <c r="C49" i="10"/>
  <c r="M27" i="10"/>
  <c r="N27" i="10"/>
  <c r="N28" i="10"/>
  <c r="F90" i="9"/>
  <c r="T41" i="10"/>
  <c r="B57" i="13"/>
  <c r="C57" i="13"/>
  <c r="C56" i="13"/>
  <c r="S40" i="10"/>
  <c r="S56" i="10"/>
  <c r="M30" i="10"/>
  <c r="S29" i="10"/>
  <c r="I30" i="10"/>
  <c r="G76" i="9"/>
  <c r="K49" i="10"/>
  <c r="G73" i="9"/>
  <c r="G74" i="9"/>
  <c r="U47" i="10"/>
  <c r="G24" i="9"/>
  <c r="G72" i="9"/>
  <c r="H18" i="9"/>
  <c r="H75" i="9"/>
  <c r="J7" i="10"/>
  <c r="J8" i="10"/>
  <c r="J9" i="10"/>
  <c r="J10" i="10"/>
  <c r="J11" i="10"/>
  <c r="J12" i="10"/>
  <c r="J13" i="10"/>
  <c r="J14" i="10"/>
  <c r="I15" i="10"/>
  <c r="Q10" i="10"/>
  <c r="I25" i="10"/>
  <c r="M29" i="10"/>
  <c r="D33" i="10"/>
  <c r="Q29" i="10"/>
  <c r="G49" i="10"/>
  <c r="I41" i="10"/>
  <c r="S41" i="10"/>
  <c r="O33" i="10"/>
  <c r="S33" i="10"/>
  <c r="T24" i="10"/>
  <c r="T56" i="10"/>
  <c r="S47" i="10"/>
  <c r="S25" i="10"/>
  <c r="E31" i="10"/>
  <c r="Q43" i="10"/>
  <c r="U43" i="10"/>
  <c r="S43" i="10"/>
  <c r="L33" i="10"/>
  <c r="I24" i="10"/>
  <c r="J24" i="10"/>
  <c r="H33" i="10"/>
  <c r="E42" i="10"/>
  <c r="U42" i="10"/>
  <c r="S42" i="10"/>
  <c r="G15" i="10"/>
  <c r="S31" i="10"/>
  <c r="Q13" i="10"/>
  <c r="K15" i="10"/>
  <c r="M8" i="10"/>
  <c r="M15" i="10"/>
  <c r="Q8" i="10"/>
  <c r="E11" i="10"/>
  <c r="T29" i="10"/>
  <c r="T61" i="10"/>
  <c r="F40" i="10"/>
  <c r="U40" i="10"/>
  <c r="U6" i="10"/>
  <c r="S48" i="10"/>
  <c r="E48" i="10"/>
  <c r="U48" i="10"/>
  <c r="Q9" i="10"/>
  <c r="O49" i="10"/>
  <c r="N40" i="10"/>
  <c r="N41" i="10"/>
  <c r="N42" i="10"/>
  <c r="N43" i="10"/>
  <c r="N44" i="10"/>
  <c r="N45" i="10"/>
  <c r="N46" i="10"/>
  <c r="N47" i="10"/>
  <c r="N48" i="10"/>
  <c r="M49" i="10"/>
  <c r="S28" i="10"/>
  <c r="E26" i="10"/>
  <c r="I32" i="10"/>
  <c r="R40" i="10"/>
  <c r="R41" i="10"/>
  <c r="R42" i="10"/>
  <c r="Q49" i="10"/>
  <c r="Q14" i="10"/>
  <c r="Q12" i="10"/>
  <c r="E28" i="10"/>
  <c r="N7" i="10"/>
  <c r="V6" i="10"/>
  <c r="F91" i="9"/>
  <c r="T15" i="10"/>
  <c r="F92" i="9"/>
  <c r="H22" i="9"/>
  <c r="G82" i="9"/>
  <c r="G84" i="9"/>
  <c r="G80" i="9"/>
  <c r="G81" i="9"/>
  <c r="G83" i="9"/>
  <c r="G91" i="9"/>
  <c r="N29" i="10"/>
  <c r="Q28" i="10"/>
  <c r="Q25" i="10"/>
  <c r="U25" i="10"/>
  <c r="G89" i="9"/>
  <c r="T25" i="10"/>
  <c r="T57" i="10"/>
  <c r="G92" i="9"/>
  <c r="N30" i="10"/>
  <c r="N31" i="10"/>
  <c r="N32" i="10"/>
  <c r="G90" i="9"/>
  <c r="T28" i="10"/>
  <c r="T60" i="10"/>
  <c r="M33" i="10"/>
  <c r="S49" i="10"/>
  <c r="R43" i="10"/>
  <c r="R44" i="10"/>
  <c r="R45" i="10"/>
  <c r="R46" i="10"/>
  <c r="R47" i="10"/>
  <c r="R48" i="10"/>
  <c r="T31" i="10"/>
  <c r="T63" i="10"/>
  <c r="G88" i="9"/>
  <c r="T32" i="10"/>
  <c r="T64" i="10"/>
  <c r="H76" i="9"/>
  <c r="H73" i="9"/>
  <c r="N8" i="10"/>
  <c r="N9" i="10"/>
  <c r="N10" i="10"/>
  <c r="N11" i="10"/>
  <c r="N12" i="10"/>
  <c r="N13" i="10"/>
  <c r="N14" i="10"/>
  <c r="H72" i="9"/>
  <c r="H74" i="9"/>
  <c r="I18" i="9"/>
  <c r="I74" i="9"/>
  <c r="Q30" i="10"/>
  <c r="U30" i="10"/>
  <c r="Q26" i="10"/>
  <c r="U26" i="10"/>
  <c r="Q31" i="10"/>
  <c r="U31" i="10"/>
  <c r="Q24" i="10"/>
  <c r="J25" i="10"/>
  <c r="J26" i="10"/>
  <c r="J27" i="10"/>
  <c r="J28" i="10"/>
  <c r="J29" i="10"/>
  <c r="J30" i="10"/>
  <c r="J31" i="10"/>
  <c r="J32" i="10"/>
  <c r="E13" i="10"/>
  <c r="U13" i="10"/>
  <c r="S13" i="10"/>
  <c r="S63" i="10"/>
  <c r="S14" i="10"/>
  <c r="S64" i="10"/>
  <c r="E14" i="10"/>
  <c r="U14" i="10"/>
  <c r="F24" i="10"/>
  <c r="E33" i="10"/>
  <c r="U24" i="10"/>
  <c r="U56" i="10"/>
  <c r="S9" i="10"/>
  <c r="S59" i="10"/>
  <c r="E9" i="10"/>
  <c r="U9" i="10"/>
  <c r="S11" i="10"/>
  <c r="S61" i="10"/>
  <c r="Q11" i="10"/>
  <c r="U11" i="10"/>
  <c r="P33" i="10"/>
  <c r="T33" i="10"/>
  <c r="U41" i="10"/>
  <c r="I49" i="10"/>
  <c r="S10" i="10"/>
  <c r="S60" i="10"/>
  <c r="E10" i="10"/>
  <c r="U10" i="10"/>
  <c r="S12" i="10"/>
  <c r="S62" i="10"/>
  <c r="E12" i="10"/>
  <c r="U12" i="10"/>
  <c r="Q32" i="10"/>
  <c r="U32" i="10"/>
  <c r="E49" i="10"/>
  <c r="T26" i="10"/>
  <c r="T58" i="10"/>
  <c r="O15" i="10"/>
  <c r="Q7" i="10"/>
  <c r="C15" i="10"/>
  <c r="S7" i="10"/>
  <c r="S57" i="10"/>
  <c r="E7" i="10"/>
  <c r="I33" i="10"/>
  <c r="U28" i="10"/>
  <c r="T30" i="10"/>
  <c r="T62" i="10"/>
  <c r="Q27" i="10"/>
  <c r="U27" i="10"/>
  <c r="F41" i="10"/>
  <c r="V40" i="10"/>
  <c r="T27" i="10"/>
  <c r="T59" i="10"/>
  <c r="S8" i="10"/>
  <c r="S58" i="10"/>
  <c r="E8" i="10"/>
  <c r="U8" i="10"/>
  <c r="J41" i="10"/>
  <c r="J42" i="10"/>
  <c r="J43" i="10"/>
  <c r="J44" i="10"/>
  <c r="J45" i="10"/>
  <c r="J46" i="10"/>
  <c r="J47" i="10"/>
  <c r="J48" i="10"/>
  <c r="U29" i="10"/>
  <c r="H24" i="9"/>
  <c r="I22" i="9"/>
  <c r="I24" i="9"/>
  <c r="H84" i="9"/>
  <c r="H83" i="9"/>
  <c r="H91" i="9"/>
  <c r="H80" i="9"/>
  <c r="H82" i="9"/>
  <c r="H81" i="9"/>
  <c r="I75" i="9"/>
  <c r="I72" i="9"/>
  <c r="I73" i="9"/>
  <c r="I76" i="9"/>
  <c r="J18" i="9"/>
  <c r="H90" i="9"/>
  <c r="U60" i="10"/>
  <c r="H88" i="9"/>
  <c r="H89" i="9"/>
  <c r="H92" i="9"/>
  <c r="S15" i="10"/>
  <c r="U49" i="10"/>
  <c r="U62" i="10"/>
  <c r="U63" i="10"/>
  <c r="U58" i="10"/>
  <c r="F42" i="10"/>
  <c r="V41" i="10"/>
  <c r="Q15" i="10"/>
  <c r="R7" i="10"/>
  <c r="R8" i="10"/>
  <c r="R9" i="10"/>
  <c r="R10" i="10"/>
  <c r="R11" i="10"/>
  <c r="R12" i="10"/>
  <c r="R13" i="10"/>
  <c r="R14" i="10"/>
  <c r="U59" i="10"/>
  <c r="F25" i="10"/>
  <c r="R24" i="10"/>
  <c r="R25" i="10"/>
  <c r="R26" i="10"/>
  <c r="R27" i="10"/>
  <c r="Q33" i="10"/>
  <c r="U33" i="10"/>
  <c r="F7" i="10"/>
  <c r="U7" i="10"/>
  <c r="U57" i="10"/>
  <c r="E15" i="10"/>
  <c r="U15" i="10"/>
  <c r="U64" i="10"/>
  <c r="U61" i="10"/>
  <c r="J22" i="9"/>
  <c r="I82" i="9"/>
  <c r="I90" i="9"/>
  <c r="I83" i="9"/>
  <c r="I91" i="9"/>
  <c r="I80" i="9"/>
  <c r="I88" i="9"/>
  <c r="I81" i="9"/>
  <c r="I89" i="9"/>
  <c r="I84" i="9"/>
  <c r="I92" i="9"/>
  <c r="J73" i="9"/>
  <c r="J76" i="9"/>
  <c r="J75" i="9"/>
  <c r="K18" i="9"/>
  <c r="J74" i="9"/>
  <c r="J72" i="9"/>
  <c r="V24" i="10"/>
  <c r="V56" i="10"/>
  <c r="F8" i="10"/>
  <c r="V7" i="10"/>
  <c r="F26" i="10"/>
  <c r="V25" i="10"/>
  <c r="F43" i="10"/>
  <c r="V42" i="10"/>
  <c r="R28" i="10"/>
  <c r="K22" i="9"/>
  <c r="J81" i="9"/>
  <c r="J89" i="9"/>
  <c r="J82" i="9"/>
  <c r="J90" i="9"/>
  <c r="J84" i="9"/>
  <c r="J92" i="9"/>
  <c r="J83" i="9"/>
  <c r="J91" i="9"/>
  <c r="J80" i="9"/>
  <c r="J88" i="9"/>
  <c r="J24" i="9"/>
  <c r="L18" i="9"/>
  <c r="K74" i="9"/>
  <c r="K76" i="9"/>
  <c r="K75" i="9"/>
  <c r="K72" i="9"/>
  <c r="K73" i="9"/>
  <c r="V57" i="10"/>
  <c r="F27" i="10"/>
  <c r="V26" i="10"/>
  <c r="F44" i="10"/>
  <c r="V43" i="10"/>
  <c r="V8" i="10"/>
  <c r="F9" i="10"/>
  <c r="R29" i="10"/>
  <c r="K24" i="9"/>
  <c r="L22" i="9"/>
  <c r="K82" i="9"/>
  <c r="K90" i="9"/>
  <c r="K83" i="9"/>
  <c r="K91" i="9"/>
  <c r="K80" i="9"/>
  <c r="K88" i="9"/>
  <c r="K81" i="9"/>
  <c r="K89" i="9"/>
  <c r="K84" i="9"/>
  <c r="K92" i="9"/>
  <c r="M18" i="9"/>
  <c r="L73" i="9"/>
  <c r="L76" i="9"/>
  <c r="L75" i="9"/>
  <c r="L74" i="9"/>
  <c r="L72" i="9"/>
  <c r="F10" i="10"/>
  <c r="V9" i="10"/>
  <c r="V44" i="10"/>
  <c r="F45" i="10"/>
  <c r="V58" i="10"/>
  <c r="F28" i="10"/>
  <c r="V27" i="10"/>
  <c r="R30" i="10"/>
  <c r="M22" i="9"/>
  <c r="M24" i="9"/>
  <c r="L84" i="9"/>
  <c r="L92" i="9"/>
  <c r="L80" i="9"/>
  <c r="L88" i="9"/>
  <c r="L81" i="9"/>
  <c r="L89" i="9"/>
  <c r="L83" i="9"/>
  <c r="L91" i="9"/>
  <c r="L82" i="9"/>
  <c r="L90" i="9"/>
  <c r="L24" i="9"/>
  <c r="M72" i="9"/>
  <c r="M76" i="9"/>
  <c r="M75" i="9"/>
  <c r="M73" i="9"/>
  <c r="M74" i="9"/>
  <c r="V59" i="10"/>
  <c r="F29" i="10"/>
  <c r="V28" i="10"/>
  <c r="F46" i="10"/>
  <c r="V45" i="10"/>
  <c r="V10" i="10"/>
  <c r="F11" i="10"/>
  <c r="R31" i="10"/>
  <c r="M82" i="9"/>
  <c r="M90" i="9"/>
  <c r="M81" i="9"/>
  <c r="M89" i="9"/>
  <c r="M83" i="9"/>
  <c r="M91" i="9"/>
  <c r="M80" i="9"/>
  <c r="M88" i="9"/>
  <c r="M84" i="9"/>
  <c r="M92" i="9"/>
  <c r="F12" i="10"/>
  <c r="V11" i="10"/>
  <c r="V46" i="10"/>
  <c r="F47" i="10"/>
  <c r="V60" i="10"/>
  <c r="F30" i="10"/>
  <c r="V29" i="10"/>
  <c r="R32" i="10"/>
  <c r="V61" i="10"/>
  <c r="F31" i="10"/>
  <c r="V30" i="10"/>
  <c r="V47" i="10"/>
  <c r="F48" i="10"/>
  <c r="V48" i="10"/>
  <c r="F13" i="10"/>
  <c r="V12" i="10"/>
  <c r="V66" i="10"/>
  <c r="V65" i="10"/>
  <c r="V62" i="10"/>
  <c r="F14" i="10"/>
  <c r="V14" i="10"/>
  <c r="V13" i="10"/>
  <c r="F32" i="10"/>
  <c r="V32" i="10"/>
  <c r="V31" i="10"/>
  <c r="V63" i="10"/>
  <c r="V64" i="10"/>
  <c r="AD65" i="12" a="1"/>
  <c r="AD65" i="12"/>
  <c r="AI65" i="12"/>
  <c r="AK65" i="12"/>
  <c r="AD34" i="12" a="1"/>
  <c r="AD34" i="12"/>
  <c r="AJ34" i="12"/>
  <c r="AS65" i="12"/>
  <c r="AH65" i="12"/>
  <c r="AT65" i="12"/>
  <c r="AR65" i="12"/>
  <c r="AF34" i="12"/>
  <c r="AF55" i="12"/>
  <c r="AQ65" i="12"/>
  <c r="AY65" i="12"/>
  <c r="AP65" i="12"/>
  <c r="AZ65" i="12"/>
  <c r="AL65" i="12"/>
  <c r="AZ34" i="12"/>
  <c r="AX65" i="12"/>
  <c r="AJ65" i="12"/>
  <c r="AV34" i="12"/>
  <c r="AU65" i="12"/>
  <c r="AM65" i="12"/>
  <c r="AN34" i="12"/>
  <c r="AM34" i="12"/>
  <c r="AW65" i="12"/>
  <c r="AO65" i="12"/>
  <c r="AG65" i="12"/>
  <c r="AU34" i="12"/>
  <c r="AV65" i="12"/>
  <c r="AN65" i="12"/>
  <c r="AR34" i="12"/>
  <c r="AT34" i="12"/>
  <c r="AL34" i="12"/>
  <c r="AS34" i="12"/>
  <c r="AK34" i="12"/>
  <c r="AY34" i="12"/>
  <c r="AQ34" i="12"/>
  <c r="AI34" i="12"/>
  <c r="AX34" i="12"/>
  <c r="AP34" i="12"/>
  <c r="AH34" i="12"/>
  <c r="AF65" i="12"/>
  <c r="AF86" i="12"/>
  <c r="AW34" i="12"/>
  <c r="AO34" i="12"/>
  <c r="AG34" i="12"/>
  <c r="AD68" i="13" a="1"/>
  <c r="AD68" i="13"/>
  <c r="AH68" i="13"/>
  <c r="AD37" i="13" a="1"/>
  <c r="AD37" i="13"/>
  <c r="AP37" i="13"/>
  <c r="AR37" i="13"/>
  <c r="AI68" i="13"/>
  <c r="AP68" i="13"/>
  <c r="AS68" i="13"/>
  <c r="AN68" i="13"/>
  <c r="AX68" i="13"/>
  <c r="AJ68" i="13"/>
  <c r="AY68" i="13"/>
  <c r="AZ68" i="13"/>
  <c r="AL68" i="13"/>
  <c r="AQ68" i="13"/>
  <c r="AF68" i="13"/>
  <c r="AF89" i="13"/>
  <c r="AK68" i="13"/>
  <c r="AT68" i="13"/>
  <c r="AR68" i="13"/>
  <c r="AU68" i="13"/>
  <c r="AV68" i="13"/>
  <c r="AM68" i="13"/>
  <c r="AW68" i="13"/>
  <c r="AO68" i="13"/>
  <c r="AG68" i="13"/>
  <c r="AW37" i="13"/>
  <c r="AI37" i="13"/>
  <c r="AJ37" i="13"/>
  <c r="AV37" i="13"/>
  <c r="AT37" i="13"/>
  <c r="AN37" i="13"/>
  <c r="AO37" i="13"/>
  <c r="AH37" i="13"/>
  <c r="AU37" i="13"/>
  <c r="AZ37" i="13"/>
  <c r="AS37" i="13"/>
  <c r="AM37" i="13"/>
  <c r="AL37" i="13"/>
  <c r="AG37" i="13"/>
  <c r="AF37" i="13"/>
  <c r="AF58" i="13"/>
  <c r="AX37" i="13"/>
  <c r="AK37" i="13"/>
  <c r="AY37" i="13"/>
  <c r="AQ37" i="13"/>
  <c r="I36" i="12"/>
  <c r="J36" i="12"/>
  <c r="K36" i="12"/>
  <c r="L36" i="12"/>
  <c r="M36" i="12"/>
  <c r="N36" i="12"/>
  <c r="O36" i="12"/>
  <c r="P36" i="12"/>
  <c r="Q36" i="12"/>
  <c r="R36" i="12"/>
  <c r="S36" i="12"/>
  <c r="T36" i="12"/>
  <c r="U36" i="12"/>
  <c r="V36" i="12"/>
  <c r="W36" i="12"/>
  <c r="X36" i="12"/>
  <c r="Y36" i="12"/>
  <c r="Z36" i="12"/>
  <c r="AA36" i="12"/>
  <c r="AH36" i="12"/>
  <c r="AI36" i="12"/>
  <c r="AJ36" i="12"/>
  <c r="AK36" i="12"/>
  <c r="AL36" i="12"/>
  <c r="AM36" i="12"/>
  <c r="AN36" i="12"/>
  <c r="AO36" i="12"/>
  <c r="AP36" i="12"/>
  <c r="AQ36" i="12"/>
  <c r="AR36" i="12"/>
  <c r="AS36" i="12"/>
  <c r="AT36" i="12"/>
  <c r="AU36" i="12"/>
  <c r="AV36" i="12"/>
  <c r="AW36" i="12"/>
  <c r="AX36" i="12"/>
  <c r="AY36" i="12"/>
  <c r="AD36" i="12"/>
  <c r="AZ36" i="12"/>
  <c r="J37" i="12"/>
  <c r="K37" i="12"/>
  <c r="L37" i="12"/>
  <c r="M37" i="12"/>
  <c r="N37" i="12"/>
  <c r="O37" i="12"/>
  <c r="P37" i="12"/>
  <c r="Q37" i="12"/>
  <c r="R37" i="12"/>
  <c r="S37" i="12"/>
  <c r="T37" i="12"/>
  <c r="U37" i="12"/>
  <c r="V37" i="12"/>
  <c r="W37" i="12"/>
  <c r="X37" i="12"/>
  <c r="Y37" i="12"/>
  <c r="Z37" i="12"/>
  <c r="AA37" i="12"/>
  <c r="AI37" i="12"/>
  <c r="AJ37" i="12"/>
  <c r="AK37" i="12"/>
  <c r="AL37" i="12"/>
  <c r="AM37" i="12"/>
  <c r="AN37" i="12"/>
  <c r="AO37" i="12"/>
  <c r="AP37" i="12"/>
  <c r="AQ37" i="12"/>
  <c r="AR37" i="12"/>
  <c r="AS37" i="12"/>
  <c r="AT37" i="12"/>
  <c r="AU37" i="12"/>
  <c r="AV37" i="12"/>
  <c r="AW37" i="12"/>
  <c r="AX37" i="12"/>
  <c r="AY37" i="12"/>
  <c r="AD37" i="12"/>
  <c r="AZ37" i="12"/>
  <c r="K38" i="12"/>
  <c r="L38" i="12"/>
  <c r="M38" i="12"/>
  <c r="N38" i="12"/>
  <c r="O38" i="12"/>
  <c r="P38" i="12"/>
  <c r="Q38" i="12"/>
  <c r="R38" i="12"/>
  <c r="S38" i="12"/>
  <c r="T38" i="12"/>
  <c r="U38" i="12"/>
  <c r="V38" i="12"/>
  <c r="W38" i="12"/>
  <c r="X38" i="12"/>
  <c r="Y38" i="12"/>
  <c r="Z38" i="12"/>
  <c r="AA38" i="12"/>
  <c r="AJ38" i="12"/>
  <c r="AK38" i="12"/>
  <c r="AL38" i="12"/>
  <c r="AM38" i="12"/>
  <c r="AN38" i="12"/>
  <c r="AO38" i="12"/>
  <c r="AP38" i="12"/>
  <c r="AQ38" i="12"/>
  <c r="AR38" i="12"/>
  <c r="AS38" i="12"/>
  <c r="AT38" i="12"/>
  <c r="AU38" i="12"/>
  <c r="AV38" i="12"/>
  <c r="AW38" i="12"/>
  <c r="AX38" i="12"/>
  <c r="AY38" i="12"/>
  <c r="AD38" i="12"/>
  <c r="AZ38" i="12"/>
  <c r="L39" i="12"/>
  <c r="M39" i="12"/>
  <c r="N39" i="12"/>
  <c r="O39" i="12"/>
  <c r="P39" i="12"/>
  <c r="Q39" i="12"/>
  <c r="R39" i="12"/>
  <c r="S39" i="12"/>
  <c r="T39" i="12"/>
  <c r="U39" i="12"/>
  <c r="V39" i="12"/>
  <c r="W39" i="12"/>
  <c r="X39" i="12"/>
  <c r="Y39" i="12"/>
  <c r="Z39" i="12"/>
  <c r="AA39" i="12"/>
  <c r="AK39" i="12"/>
  <c r="AL39" i="12"/>
  <c r="AM39" i="12"/>
  <c r="AN39" i="12"/>
  <c r="AO39" i="12"/>
  <c r="AP39" i="12"/>
  <c r="AQ39" i="12"/>
  <c r="AR39" i="12"/>
  <c r="AS39" i="12"/>
  <c r="AT39" i="12"/>
  <c r="AU39" i="12"/>
  <c r="AV39" i="12"/>
  <c r="AW39" i="12"/>
  <c r="AX39" i="12"/>
  <c r="AY39" i="12"/>
  <c r="AD39" i="12"/>
  <c r="AZ39" i="12"/>
  <c r="M40" i="12"/>
  <c r="N40" i="12"/>
  <c r="O40" i="12"/>
  <c r="P40" i="12"/>
  <c r="Q40" i="12"/>
  <c r="R40" i="12"/>
  <c r="S40" i="12"/>
  <c r="T40" i="12"/>
  <c r="U40" i="12"/>
  <c r="V40" i="12"/>
  <c r="W40" i="12"/>
  <c r="X40" i="12"/>
  <c r="Y40" i="12"/>
  <c r="Z40" i="12"/>
  <c r="AA40" i="12"/>
  <c r="AL40" i="12"/>
  <c r="AM40" i="12"/>
  <c r="AN40" i="12"/>
  <c r="AO40" i="12"/>
  <c r="AP40" i="12"/>
  <c r="AQ40" i="12"/>
  <c r="AR40" i="12"/>
  <c r="AS40" i="12"/>
  <c r="AT40" i="12"/>
  <c r="AU40" i="12"/>
  <c r="AV40" i="12"/>
  <c r="AW40" i="12"/>
  <c r="AX40" i="12"/>
  <c r="AY40" i="12"/>
  <c r="AD40" i="12"/>
  <c r="AZ40" i="12"/>
  <c r="N41" i="12"/>
  <c r="O41" i="12"/>
  <c r="P41" i="12"/>
  <c r="Q41" i="12"/>
  <c r="R41" i="12"/>
  <c r="S41" i="12"/>
  <c r="T41" i="12"/>
  <c r="U41" i="12"/>
  <c r="V41" i="12"/>
  <c r="W41" i="12"/>
  <c r="X41" i="12"/>
  <c r="Y41" i="12"/>
  <c r="Z41" i="12"/>
  <c r="AA41" i="12"/>
  <c r="AM41" i="12"/>
  <c r="AN41" i="12"/>
  <c r="AO41" i="12"/>
  <c r="AP41" i="12"/>
  <c r="AQ41" i="12"/>
  <c r="AR41" i="12"/>
  <c r="AS41" i="12"/>
  <c r="AT41" i="12"/>
  <c r="AU41" i="12"/>
  <c r="AV41" i="12"/>
  <c r="AW41" i="12"/>
  <c r="AX41" i="12"/>
  <c r="AY41" i="12"/>
  <c r="AD41" i="12"/>
  <c r="AZ41" i="12"/>
  <c r="O42" i="12"/>
  <c r="P42" i="12"/>
  <c r="Q42" i="12"/>
  <c r="R42" i="12"/>
  <c r="S42" i="12"/>
  <c r="T42" i="12"/>
  <c r="U42" i="12"/>
  <c r="V42" i="12"/>
  <c r="W42" i="12"/>
  <c r="X42" i="12"/>
  <c r="Y42" i="12"/>
  <c r="Z42" i="12"/>
  <c r="AA42" i="12"/>
  <c r="AN42" i="12"/>
  <c r="AO42" i="12"/>
  <c r="AP42" i="12"/>
  <c r="AQ42" i="12"/>
  <c r="AR42" i="12"/>
  <c r="AS42" i="12"/>
  <c r="AT42" i="12"/>
  <c r="AU42" i="12"/>
  <c r="AV42" i="12"/>
  <c r="AW42" i="12"/>
  <c r="AX42" i="12"/>
  <c r="AY42" i="12"/>
  <c r="AD42" i="12"/>
  <c r="AZ42" i="12"/>
  <c r="P43" i="12"/>
  <c r="Q43" i="12"/>
  <c r="R43" i="12"/>
  <c r="S43" i="12"/>
  <c r="T43" i="12"/>
  <c r="U43" i="12"/>
  <c r="V43" i="12"/>
  <c r="W43" i="12"/>
  <c r="X43" i="12"/>
  <c r="Y43" i="12"/>
  <c r="Z43" i="12"/>
  <c r="AA43" i="12"/>
  <c r="AO43" i="12"/>
  <c r="AP43" i="12"/>
  <c r="AQ43" i="12"/>
  <c r="AR43" i="12"/>
  <c r="AS43" i="12"/>
  <c r="AT43" i="12"/>
  <c r="AU43" i="12"/>
  <c r="AV43" i="12"/>
  <c r="AW43" i="12"/>
  <c r="AX43" i="12"/>
  <c r="AY43" i="12"/>
  <c r="AD43" i="12"/>
  <c r="AZ43" i="12"/>
  <c r="Q44" i="12"/>
  <c r="R44" i="12"/>
  <c r="S44" i="12"/>
  <c r="T44" i="12"/>
  <c r="U44" i="12"/>
  <c r="V44" i="12"/>
  <c r="W44" i="12"/>
  <c r="X44" i="12"/>
  <c r="Y44" i="12"/>
  <c r="Z44" i="12"/>
  <c r="AA44" i="12"/>
  <c r="AP44" i="12"/>
  <c r="AQ44" i="12"/>
  <c r="AR44" i="12"/>
  <c r="AS44" i="12"/>
  <c r="AT44" i="12"/>
  <c r="AU44" i="12"/>
  <c r="AV44" i="12"/>
  <c r="AW44" i="12"/>
  <c r="AX44" i="12"/>
  <c r="AY44" i="12"/>
  <c r="AD44" i="12"/>
  <c r="AZ44" i="12"/>
  <c r="R45" i="12"/>
  <c r="S45" i="12"/>
  <c r="T45" i="12"/>
  <c r="U45" i="12"/>
  <c r="V45" i="12"/>
  <c r="W45" i="12"/>
  <c r="X45" i="12"/>
  <c r="Y45" i="12"/>
  <c r="Z45" i="12"/>
  <c r="AA45" i="12"/>
  <c r="AQ45" i="12"/>
  <c r="AR45" i="12"/>
  <c r="AS45" i="12"/>
  <c r="AT45" i="12"/>
  <c r="AU45" i="12"/>
  <c r="AV45" i="12"/>
  <c r="AW45" i="12"/>
  <c r="AX45" i="12"/>
  <c r="AY45" i="12"/>
  <c r="AD45" i="12"/>
  <c r="AZ45" i="12"/>
  <c r="S46" i="12"/>
  <c r="T46" i="12"/>
  <c r="U46" i="12"/>
  <c r="V46" i="12"/>
  <c r="W46" i="12"/>
  <c r="X46" i="12"/>
  <c r="Y46" i="12"/>
  <c r="Z46" i="12"/>
  <c r="AA46" i="12"/>
  <c r="AR46" i="12"/>
  <c r="AS46" i="12"/>
  <c r="AT46" i="12"/>
  <c r="AU46" i="12"/>
  <c r="AV46" i="12"/>
  <c r="AW46" i="12"/>
  <c r="AX46" i="12"/>
  <c r="AY46" i="12"/>
  <c r="AD46" i="12"/>
  <c r="AZ46" i="12"/>
  <c r="T47" i="12"/>
  <c r="U47" i="12"/>
  <c r="V47" i="12"/>
  <c r="W47" i="12"/>
  <c r="X47" i="12"/>
  <c r="Y47" i="12"/>
  <c r="Z47" i="12"/>
  <c r="AA47" i="12"/>
  <c r="AS47" i="12"/>
  <c r="AT47" i="12"/>
  <c r="AU47" i="12"/>
  <c r="AV47" i="12"/>
  <c r="AW47" i="12"/>
  <c r="AX47" i="12"/>
  <c r="AY47" i="12"/>
  <c r="AD47" i="12"/>
  <c r="AZ47" i="12"/>
  <c r="U48" i="12"/>
  <c r="V48" i="12"/>
  <c r="W48" i="12"/>
  <c r="X48" i="12"/>
  <c r="Y48" i="12"/>
  <c r="Z48" i="12"/>
  <c r="AA48" i="12"/>
  <c r="AT48" i="12"/>
  <c r="AU48" i="12"/>
  <c r="AV48" i="12"/>
  <c r="AW48" i="12"/>
  <c r="AX48" i="12"/>
  <c r="AY48" i="12"/>
  <c r="AD48" i="12"/>
  <c r="AZ48" i="12"/>
  <c r="V49" i="12"/>
  <c r="W49" i="12"/>
  <c r="X49" i="12"/>
  <c r="Y49" i="12"/>
  <c r="Z49" i="12"/>
  <c r="AA49" i="12"/>
  <c r="AU49" i="12"/>
  <c r="AV49" i="12"/>
  <c r="AW49" i="12"/>
  <c r="AX49" i="12"/>
  <c r="AY49" i="12"/>
  <c r="AD49" i="12"/>
  <c r="AZ49" i="12"/>
  <c r="W50" i="12"/>
  <c r="X50" i="12"/>
  <c r="Y50" i="12"/>
  <c r="Z50" i="12"/>
  <c r="AA50" i="12"/>
  <c r="AV50" i="12"/>
  <c r="AW50" i="12"/>
  <c r="AX50" i="12"/>
  <c r="AY50" i="12"/>
  <c r="AD50" i="12"/>
  <c r="AZ50" i="12"/>
  <c r="X51" i="12"/>
  <c r="Y51" i="12"/>
  <c r="Z51" i="12"/>
  <c r="AA51" i="12"/>
  <c r="AW51" i="12"/>
  <c r="AX51" i="12"/>
  <c r="AY51" i="12"/>
  <c r="AD51" i="12"/>
  <c r="AZ51" i="12"/>
  <c r="Y52" i="12"/>
  <c r="Z52" i="12"/>
  <c r="AA52" i="12"/>
  <c r="AX52" i="12"/>
  <c r="AY52" i="12"/>
  <c r="AD52" i="12"/>
  <c r="AZ52" i="12"/>
  <c r="Z53" i="12"/>
  <c r="AA53" i="12"/>
  <c r="AY53" i="12"/>
  <c r="AD53" i="12"/>
  <c r="AZ53" i="12"/>
  <c r="D35" i="12"/>
  <c r="D36" i="12"/>
  <c r="D37" i="12"/>
  <c r="D38" i="12"/>
  <c r="D39" i="12"/>
  <c r="D40" i="12"/>
  <c r="D41" i="12"/>
  <c r="D42" i="12"/>
  <c r="D43" i="12"/>
  <c r="D44" i="12"/>
  <c r="D45" i="12"/>
  <c r="D46" i="12"/>
  <c r="D47" i="12"/>
  <c r="D48" i="12"/>
  <c r="D49" i="12"/>
  <c r="D50" i="12"/>
  <c r="D51" i="12"/>
  <c r="D52" i="12"/>
  <c r="D53" i="12"/>
  <c r="D54" i="12"/>
  <c r="AA54" i="12"/>
  <c r="AD54" i="12"/>
  <c r="AZ54" i="12"/>
  <c r="E55" i="12"/>
  <c r="AD55" i="12"/>
  <c r="AG35" i="12"/>
  <c r="AG55" i="12"/>
  <c r="AH35" i="12"/>
  <c r="AH55" i="12"/>
  <c r="AI35" i="12"/>
  <c r="AI55" i="12"/>
  <c r="AJ35" i="12"/>
  <c r="AJ55" i="12"/>
  <c r="AK35" i="12"/>
  <c r="AK55" i="12"/>
  <c r="AL35" i="12"/>
  <c r="AL55" i="12"/>
  <c r="AM35" i="12"/>
  <c r="AM55" i="12"/>
  <c r="AN35" i="12"/>
  <c r="AN55" i="12"/>
  <c r="AO35" i="12"/>
  <c r="AO55" i="12"/>
  <c r="AP35" i="12"/>
  <c r="AP55" i="12"/>
  <c r="AQ35" i="12"/>
  <c r="AQ55" i="12"/>
  <c r="AR35" i="12"/>
  <c r="AR55" i="12"/>
  <c r="AS35" i="12"/>
  <c r="AS55" i="12"/>
  <c r="AT35" i="12"/>
  <c r="AT55" i="12"/>
  <c r="AU35" i="12"/>
  <c r="AU55" i="12"/>
  <c r="AV35" i="12"/>
  <c r="AV55" i="12"/>
  <c r="AW35" i="12"/>
  <c r="AW55" i="12"/>
  <c r="AX35" i="12"/>
  <c r="AX55" i="12"/>
  <c r="AY35" i="12"/>
  <c r="AY55" i="12"/>
  <c r="AD35" i="12"/>
  <c r="AZ35" i="12"/>
  <c r="AZ55" i="12"/>
  <c r="I35" i="12"/>
  <c r="I55" i="12"/>
  <c r="E36" i="12"/>
  <c r="C67" i="12"/>
  <c r="I67" i="12"/>
  <c r="J67" i="12"/>
  <c r="K67" i="12"/>
  <c r="L67" i="12"/>
  <c r="M67" i="12"/>
  <c r="N67" i="12"/>
  <c r="O67" i="12"/>
  <c r="P67" i="12"/>
  <c r="Q67" i="12"/>
  <c r="R67" i="12"/>
  <c r="S67" i="12"/>
  <c r="T67" i="12"/>
  <c r="U67" i="12"/>
  <c r="V67" i="12"/>
  <c r="W67" i="12"/>
  <c r="X67" i="12"/>
  <c r="Y67" i="12"/>
  <c r="Z67" i="12"/>
  <c r="AA67" i="12"/>
  <c r="AH67" i="12"/>
  <c r="AI67" i="12"/>
  <c r="AJ67" i="12"/>
  <c r="AK67" i="12"/>
  <c r="AL67" i="12"/>
  <c r="AM67" i="12"/>
  <c r="AN67" i="12"/>
  <c r="AO67" i="12"/>
  <c r="AP67" i="12"/>
  <c r="AQ67" i="12"/>
  <c r="AR67" i="12"/>
  <c r="AS67" i="12"/>
  <c r="AT67" i="12"/>
  <c r="AU67" i="12"/>
  <c r="AV67" i="12"/>
  <c r="AW67" i="12"/>
  <c r="AX67" i="12"/>
  <c r="AY67" i="12"/>
  <c r="I66" i="12"/>
  <c r="I86" i="12"/>
  <c r="E67" i="12"/>
  <c r="AD67" i="12"/>
  <c r="AZ67" i="12"/>
  <c r="J35" i="12"/>
  <c r="J55" i="12"/>
  <c r="E37" i="12"/>
  <c r="C68" i="12"/>
  <c r="J68" i="12"/>
  <c r="K68" i="12"/>
  <c r="L68" i="12"/>
  <c r="M68" i="12"/>
  <c r="N68" i="12"/>
  <c r="O68" i="12"/>
  <c r="P68" i="12"/>
  <c r="Q68" i="12"/>
  <c r="R68" i="12"/>
  <c r="S68" i="12"/>
  <c r="T68" i="12"/>
  <c r="U68" i="12"/>
  <c r="V68" i="12"/>
  <c r="W68" i="12"/>
  <c r="X68" i="12"/>
  <c r="Y68" i="12"/>
  <c r="Z68" i="12"/>
  <c r="AA68" i="12"/>
  <c r="AI68" i="12"/>
  <c r="AJ68" i="12"/>
  <c r="AK68" i="12"/>
  <c r="AL68" i="12"/>
  <c r="AM68" i="12"/>
  <c r="AN68" i="12"/>
  <c r="AO68" i="12"/>
  <c r="AP68" i="12"/>
  <c r="AQ68" i="12"/>
  <c r="AR68" i="12"/>
  <c r="AS68" i="12"/>
  <c r="AT68" i="12"/>
  <c r="AU68" i="12"/>
  <c r="AV68" i="12"/>
  <c r="AW68" i="12"/>
  <c r="AX68" i="12"/>
  <c r="AY68" i="12"/>
  <c r="J66" i="12"/>
  <c r="J86" i="12"/>
  <c r="E68" i="12"/>
  <c r="AD68" i="12"/>
  <c r="AZ68" i="12"/>
  <c r="K35" i="12"/>
  <c r="K55" i="12"/>
  <c r="E38" i="12"/>
  <c r="C69" i="12"/>
  <c r="K69" i="12"/>
  <c r="L69" i="12"/>
  <c r="M69" i="12"/>
  <c r="N69" i="12"/>
  <c r="O69" i="12"/>
  <c r="P69" i="12"/>
  <c r="Q69" i="12"/>
  <c r="R69" i="12"/>
  <c r="S69" i="12"/>
  <c r="T69" i="12"/>
  <c r="U69" i="12"/>
  <c r="V69" i="12"/>
  <c r="W69" i="12"/>
  <c r="X69" i="12"/>
  <c r="Y69" i="12"/>
  <c r="Z69" i="12"/>
  <c r="AA69" i="12"/>
  <c r="AJ69" i="12"/>
  <c r="AK69" i="12"/>
  <c r="AL69" i="12"/>
  <c r="AM69" i="12"/>
  <c r="AN69" i="12"/>
  <c r="AO69" i="12"/>
  <c r="AP69" i="12"/>
  <c r="AQ69" i="12"/>
  <c r="AR69" i="12"/>
  <c r="AS69" i="12"/>
  <c r="AT69" i="12"/>
  <c r="AU69" i="12"/>
  <c r="AV69" i="12"/>
  <c r="AW69" i="12"/>
  <c r="AX69" i="12"/>
  <c r="AY69" i="12"/>
  <c r="K66" i="12"/>
  <c r="K86" i="12"/>
  <c r="E69" i="12"/>
  <c r="AD69" i="12"/>
  <c r="AZ69" i="12"/>
  <c r="L35" i="12"/>
  <c r="L55" i="12"/>
  <c r="E39" i="12"/>
  <c r="C70" i="12"/>
  <c r="L70" i="12"/>
  <c r="M70" i="12"/>
  <c r="N70" i="12"/>
  <c r="O70" i="12"/>
  <c r="P70" i="12"/>
  <c r="Q70" i="12"/>
  <c r="R70" i="12"/>
  <c r="S70" i="12"/>
  <c r="T70" i="12"/>
  <c r="U70" i="12"/>
  <c r="V70" i="12"/>
  <c r="W70" i="12"/>
  <c r="X70" i="12"/>
  <c r="Y70" i="12"/>
  <c r="Z70" i="12"/>
  <c r="AA70" i="12"/>
  <c r="AK70" i="12"/>
  <c r="AL70" i="12"/>
  <c r="AM70" i="12"/>
  <c r="AN70" i="12"/>
  <c r="AO70" i="12"/>
  <c r="AP70" i="12"/>
  <c r="AQ70" i="12"/>
  <c r="AR70" i="12"/>
  <c r="AS70" i="12"/>
  <c r="AT70" i="12"/>
  <c r="AU70" i="12"/>
  <c r="AV70" i="12"/>
  <c r="AW70" i="12"/>
  <c r="AX70" i="12"/>
  <c r="AY70" i="12"/>
  <c r="L66" i="12"/>
  <c r="L86" i="12"/>
  <c r="E70" i="12"/>
  <c r="AD70" i="12"/>
  <c r="AZ70" i="12"/>
  <c r="M35" i="12"/>
  <c r="M55" i="12"/>
  <c r="E40" i="12"/>
  <c r="C71" i="12"/>
  <c r="M71" i="12"/>
  <c r="N71" i="12"/>
  <c r="O71" i="12"/>
  <c r="P71" i="12"/>
  <c r="Q71" i="12"/>
  <c r="R71" i="12"/>
  <c r="S71" i="12"/>
  <c r="T71" i="12"/>
  <c r="U71" i="12"/>
  <c r="V71" i="12"/>
  <c r="W71" i="12"/>
  <c r="X71" i="12"/>
  <c r="Y71" i="12"/>
  <c r="Z71" i="12"/>
  <c r="AA71" i="12"/>
  <c r="AL71" i="12"/>
  <c r="AM71" i="12"/>
  <c r="AN71" i="12"/>
  <c r="AO71" i="12"/>
  <c r="AP71" i="12"/>
  <c r="AQ71" i="12"/>
  <c r="AR71" i="12"/>
  <c r="AS71" i="12"/>
  <c r="AT71" i="12"/>
  <c r="AU71" i="12"/>
  <c r="AV71" i="12"/>
  <c r="AW71" i="12"/>
  <c r="AX71" i="12"/>
  <c r="AY71" i="12"/>
  <c r="M66" i="12"/>
  <c r="M86" i="12"/>
  <c r="E71" i="12"/>
  <c r="AD71" i="12"/>
  <c r="AZ71" i="12"/>
  <c r="N35" i="12"/>
  <c r="N55" i="12"/>
  <c r="E41" i="12"/>
  <c r="C72" i="12"/>
  <c r="N72" i="12"/>
  <c r="O72" i="12"/>
  <c r="P72" i="12"/>
  <c r="Q72" i="12"/>
  <c r="R72" i="12"/>
  <c r="S72" i="12"/>
  <c r="T72" i="12"/>
  <c r="U72" i="12"/>
  <c r="V72" i="12"/>
  <c r="W72" i="12"/>
  <c r="X72" i="12"/>
  <c r="Y72" i="12"/>
  <c r="Z72" i="12"/>
  <c r="AA72" i="12"/>
  <c r="AM72" i="12"/>
  <c r="AN72" i="12"/>
  <c r="AO72" i="12"/>
  <c r="AP72" i="12"/>
  <c r="AQ72" i="12"/>
  <c r="AR72" i="12"/>
  <c r="AS72" i="12"/>
  <c r="AT72" i="12"/>
  <c r="AU72" i="12"/>
  <c r="AV72" i="12"/>
  <c r="AW72" i="12"/>
  <c r="AX72" i="12"/>
  <c r="AY72" i="12"/>
  <c r="N66" i="12"/>
  <c r="N86" i="12"/>
  <c r="E72" i="12"/>
  <c r="AD72" i="12"/>
  <c r="AZ72" i="12"/>
  <c r="O35" i="12"/>
  <c r="O55" i="12"/>
  <c r="E42" i="12"/>
  <c r="C73" i="12"/>
  <c r="O73" i="12"/>
  <c r="P73" i="12"/>
  <c r="Q73" i="12"/>
  <c r="R73" i="12"/>
  <c r="S73" i="12"/>
  <c r="T73" i="12"/>
  <c r="U73" i="12"/>
  <c r="V73" i="12"/>
  <c r="W73" i="12"/>
  <c r="X73" i="12"/>
  <c r="Y73" i="12"/>
  <c r="Z73" i="12"/>
  <c r="AA73" i="12"/>
  <c r="AN73" i="12"/>
  <c r="AO73" i="12"/>
  <c r="AP73" i="12"/>
  <c r="AQ73" i="12"/>
  <c r="AR73" i="12"/>
  <c r="AS73" i="12"/>
  <c r="AT73" i="12"/>
  <c r="AU73" i="12"/>
  <c r="AV73" i="12"/>
  <c r="AW73" i="12"/>
  <c r="AX73" i="12"/>
  <c r="AY73" i="12"/>
  <c r="O66" i="12"/>
  <c r="O86" i="12"/>
  <c r="E73" i="12"/>
  <c r="AD73" i="12"/>
  <c r="AZ73" i="12"/>
  <c r="P35" i="12"/>
  <c r="P55" i="12"/>
  <c r="E43" i="12"/>
  <c r="C74" i="12"/>
  <c r="P74" i="12"/>
  <c r="Q74" i="12"/>
  <c r="R74" i="12"/>
  <c r="S74" i="12"/>
  <c r="T74" i="12"/>
  <c r="U74" i="12"/>
  <c r="V74" i="12"/>
  <c r="W74" i="12"/>
  <c r="X74" i="12"/>
  <c r="Y74" i="12"/>
  <c r="Z74" i="12"/>
  <c r="AA74" i="12"/>
  <c r="AO74" i="12"/>
  <c r="AP74" i="12"/>
  <c r="AQ74" i="12"/>
  <c r="AR74" i="12"/>
  <c r="AS74" i="12"/>
  <c r="AT74" i="12"/>
  <c r="AU74" i="12"/>
  <c r="AV74" i="12"/>
  <c r="AW74" i="12"/>
  <c r="AX74" i="12"/>
  <c r="AY74" i="12"/>
  <c r="P66" i="12"/>
  <c r="P86" i="12"/>
  <c r="E74" i="12"/>
  <c r="AD74" i="12"/>
  <c r="AZ74" i="12"/>
  <c r="Q35" i="12"/>
  <c r="Q55" i="12"/>
  <c r="E44" i="12"/>
  <c r="C75" i="12"/>
  <c r="Q75" i="12"/>
  <c r="R75" i="12"/>
  <c r="S75" i="12"/>
  <c r="T75" i="12"/>
  <c r="U75" i="12"/>
  <c r="V75" i="12"/>
  <c r="W75" i="12"/>
  <c r="X75" i="12"/>
  <c r="Y75" i="12"/>
  <c r="Z75" i="12"/>
  <c r="AA75" i="12"/>
  <c r="AP75" i="12"/>
  <c r="AQ75" i="12"/>
  <c r="AR75" i="12"/>
  <c r="AS75" i="12"/>
  <c r="AT75" i="12"/>
  <c r="AU75" i="12"/>
  <c r="AV75" i="12"/>
  <c r="AW75" i="12"/>
  <c r="AX75" i="12"/>
  <c r="AY75" i="12"/>
  <c r="Q66" i="12"/>
  <c r="Q86" i="12"/>
  <c r="E75" i="12"/>
  <c r="AD75" i="12"/>
  <c r="AZ75" i="12"/>
  <c r="R35" i="12"/>
  <c r="R55" i="12"/>
  <c r="E45" i="12"/>
  <c r="C76" i="12"/>
  <c r="R76" i="12"/>
  <c r="S76" i="12"/>
  <c r="T76" i="12"/>
  <c r="U76" i="12"/>
  <c r="V76" i="12"/>
  <c r="W76" i="12"/>
  <c r="X76" i="12"/>
  <c r="Y76" i="12"/>
  <c r="Z76" i="12"/>
  <c r="AA76" i="12"/>
  <c r="AQ76" i="12"/>
  <c r="AR76" i="12"/>
  <c r="AS76" i="12"/>
  <c r="AT76" i="12"/>
  <c r="AU76" i="12"/>
  <c r="AV76" i="12"/>
  <c r="AW76" i="12"/>
  <c r="AX76" i="12"/>
  <c r="AY76" i="12"/>
  <c r="R66" i="12"/>
  <c r="R86" i="12"/>
  <c r="E76" i="12"/>
  <c r="AD76" i="12"/>
  <c r="AZ76" i="12"/>
  <c r="S35" i="12"/>
  <c r="S55" i="12"/>
  <c r="E46" i="12"/>
  <c r="C77" i="12"/>
  <c r="S77" i="12"/>
  <c r="T77" i="12"/>
  <c r="U77" i="12"/>
  <c r="V77" i="12"/>
  <c r="W77" i="12"/>
  <c r="X77" i="12"/>
  <c r="Y77" i="12"/>
  <c r="Z77" i="12"/>
  <c r="AA77" i="12"/>
  <c r="AR77" i="12"/>
  <c r="AS77" i="12"/>
  <c r="AT77" i="12"/>
  <c r="AU77" i="12"/>
  <c r="AV77" i="12"/>
  <c r="AW77" i="12"/>
  <c r="AX77" i="12"/>
  <c r="AY77" i="12"/>
  <c r="S66" i="12"/>
  <c r="S86" i="12"/>
  <c r="E77" i="12"/>
  <c r="AD77" i="12"/>
  <c r="AZ77" i="12"/>
  <c r="T35" i="12"/>
  <c r="T55" i="12"/>
  <c r="E47" i="12"/>
  <c r="C78" i="12"/>
  <c r="T78" i="12"/>
  <c r="U78" i="12"/>
  <c r="V78" i="12"/>
  <c r="W78" i="12"/>
  <c r="X78" i="12"/>
  <c r="Y78" i="12"/>
  <c r="Z78" i="12"/>
  <c r="AA78" i="12"/>
  <c r="AS78" i="12"/>
  <c r="AT78" i="12"/>
  <c r="AU78" i="12"/>
  <c r="AV78" i="12"/>
  <c r="AW78" i="12"/>
  <c r="AX78" i="12"/>
  <c r="AY78" i="12"/>
  <c r="T66" i="12"/>
  <c r="T86" i="12"/>
  <c r="E78" i="12"/>
  <c r="AD78" i="12"/>
  <c r="AZ78" i="12"/>
  <c r="U35" i="12"/>
  <c r="U55" i="12"/>
  <c r="E48" i="12"/>
  <c r="C79" i="12"/>
  <c r="U79" i="12"/>
  <c r="V79" i="12"/>
  <c r="W79" i="12"/>
  <c r="X79" i="12"/>
  <c r="Y79" i="12"/>
  <c r="Z79" i="12"/>
  <c r="AA79" i="12"/>
  <c r="AT79" i="12"/>
  <c r="AU79" i="12"/>
  <c r="AV79" i="12"/>
  <c r="AW79" i="12"/>
  <c r="AX79" i="12"/>
  <c r="AY79" i="12"/>
  <c r="U66" i="12"/>
  <c r="U86" i="12"/>
  <c r="E79" i="12"/>
  <c r="AD79" i="12"/>
  <c r="AZ79" i="12"/>
  <c r="V35" i="12"/>
  <c r="V55" i="12"/>
  <c r="E49" i="12"/>
  <c r="C80" i="12"/>
  <c r="V80" i="12"/>
  <c r="W80" i="12"/>
  <c r="X80" i="12"/>
  <c r="Y80" i="12"/>
  <c r="Z80" i="12"/>
  <c r="AA80" i="12"/>
  <c r="AU80" i="12"/>
  <c r="AV80" i="12"/>
  <c r="AW80" i="12"/>
  <c r="AX80" i="12"/>
  <c r="AY80" i="12"/>
  <c r="V66" i="12"/>
  <c r="V86" i="12"/>
  <c r="E80" i="12"/>
  <c r="AD80" i="12"/>
  <c r="AZ80" i="12"/>
  <c r="W35" i="12"/>
  <c r="W55" i="12"/>
  <c r="E50" i="12"/>
  <c r="C81" i="12"/>
  <c r="W81" i="12"/>
  <c r="X81" i="12"/>
  <c r="Y81" i="12"/>
  <c r="Z81" i="12"/>
  <c r="AA81" i="12"/>
  <c r="AV81" i="12"/>
  <c r="AW81" i="12"/>
  <c r="AX81" i="12"/>
  <c r="AY81" i="12"/>
  <c r="W66" i="12"/>
  <c r="W86" i="12"/>
  <c r="E81" i="12"/>
  <c r="AD81" i="12"/>
  <c r="AZ81" i="12"/>
  <c r="X35" i="12"/>
  <c r="X55" i="12"/>
  <c r="E51" i="12"/>
  <c r="C82" i="12"/>
  <c r="X82" i="12"/>
  <c r="Y82" i="12"/>
  <c r="Z82" i="12"/>
  <c r="AA82" i="12"/>
  <c r="AW82" i="12"/>
  <c r="AX82" i="12"/>
  <c r="AY82" i="12"/>
  <c r="X66" i="12"/>
  <c r="X86" i="12"/>
  <c r="E82" i="12"/>
  <c r="AD82" i="12"/>
  <c r="AZ82" i="12"/>
  <c r="Y35" i="12"/>
  <c r="Y55" i="12"/>
  <c r="E52" i="12"/>
  <c r="C83" i="12"/>
  <c r="Y83" i="12"/>
  <c r="Z83" i="12"/>
  <c r="AA83" i="12"/>
  <c r="AX83" i="12"/>
  <c r="AY83" i="12"/>
  <c r="Y66" i="12"/>
  <c r="Y86" i="12"/>
  <c r="E83" i="12"/>
  <c r="AD83" i="12"/>
  <c r="AZ83" i="12"/>
  <c r="Z35" i="12"/>
  <c r="Z55" i="12"/>
  <c r="E53" i="12"/>
  <c r="C84" i="12"/>
  <c r="Z84" i="12"/>
  <c r="AA84" i="12"/>
  <c r="AY84" i="12"/>
  <c r="Z66" i="12"/>
  <c r="Z86" i="12"/>
  <c r="E84" i="12"/>
  <c r="AD84" i="12"/>
  <c r="AZ84" i="12"/>
  <c r="B66" i="12"/>
  <c r="B67" i="12"/>
  <c r="B68" i="12"/>
  <c r="B69" i="12"/>
  <c r="B70" i="12"/>
  <c r="B71" i="12"/>
  <c r="B72" i="12"/>
  <c r="B73" i="12"/>
  <c r="B74" i="12"/>
  <c r="B75" i="12"/>
  <c r="B76" i="12"/>
  <c r="B77" i="12"/>
  <c r="B78" i="12"/>
  <c r="B79" i="12"/>
  <c r="B80" i="12"/>
  <c r="B81" i="12"/>
  <c r="B82" i="12"/>
  <c r="B83" i="12"/>
  <c r="B84" i="12"/>
  <c r="B85" i="12"/>
  <c r="AA35" i="12"/>
  <c r="AA55" i="12"/>
  <c r="E54" i="12"/>
  <c r="C85" i="12"/>
  <c r="D66" i="12"/>
  <c r="D67" i="12"/>
  <c r="D68" i="12"/>
  <c r="D69" i="12"/>
  <c r="D70" i="12"/>
  <c r="D71" i="12"/>
  <c r="D72" i="12"/>
  <c r="D73" i="12"/>
  <c r="D74" i="12"/>
  <c r="D75" i="12"/>
  <c r="D76" i="12"/>
  <c r="D77" i="12"/>
  <c r="D78" i="12"/>
  <c r="D79" i="12"/>
  <c r="D80" i="12"/>
  <c r="D81" i="12"/>
  <c r="D82" i="12"/>
  <c r="D83" i="12"/>
  <c r="D84" i="12"/>
  <c r="D85" i="12"/>
  <c r="AA85" i="12"/>
  <c r="AA66" i="12"/>
  <c r="AA86" i="12"/>
  <c r="E85" i="12"/>
  <c r="AD85" i="12"/>
  <c r="AZ85" i="12"/>
  <c r="H35" i="12"/>
  <c r="H55" i="12"/>
  <c r="E35" i="12"/>
  <c r="C66" i="12"/>
  <c r="C86" i="12"/>
  <c r="E86" i="12"/>
  <c r="AD86" i="12"/>
  <c r="AG66" i="12"/>
  <c r="AG86" i="12"/>
  <c r="AH66" i="12"/>
  <c r="AH86" i="12"/>
  <c r="AI66" i="12"/>
  <c r="AI86" i="12"/>
  <c r="AJ66" i="12"/>
  <c r="AJ86" i="12"/>
  <c r="AK66" i="12"/>
  <c r="AK86" i="12"/>
  <c r="AL66" i="12"/>
  <c r="AL86" i="12"/>
  <c r="AM66" i="12"/>
  <c r="AM86" i="12"/>
  <c r="AN66" i="12"/>
  <c r="AN86" i="12"/>
  <c r="AO66" i="12"/>
  <c r="AO86" i="12"/>
  <c r="AP66" i="12"/>
  <c r="AP86" i="12"/>
  <c r="AQ66" i="12"/>
  <c r="AQ86" i="12"/>
  <c r="AR66" i="12"/>
  <c r="AR86" i="12"/>
  <c r="AS66" i="12"/>
  <c r="AS86" i="12"/>
  <c r="AT66" i="12"/>
  <c r="AT86" i="12"/>
  <c r="AU66" i="12"/>
  <c r="AU86" i="12"/>
  <c r="AV66" i="12"/>
  <c r="AV86" i="12"/>
  <c r="AW66" i="12"/>
  <c r="AW86" i="12"/>
  <c r="AX66" i="12"/>
  <c r="AX86" i="12"/>
  <c r="AY66" i="12"/>
  <c r="AY86" i="12"/>
  <c r="H66" i="12"/>
  <c r="H86" i="12"/>
  <c r="E66" i="12"/>
  <c r="AD66" i="12"/>
  <c r="AZ66" i="12"/>
  <c r="AZ86" i="12"/>
  <c r="I39" i="13"/>
  <c r="J39" i="13"/>
  <c r="K39" i="13"/>
  <c r="L39" i="13"/>
  <c r="M39" i="13"/>
  <c r="N39" i="13"/>
  <c r="O39" i="13"/>
  <c r="P39" i="13"/>
  <c r="Q39" i="13"/>
  <c r="R39" i="13"/>
  <c r="S39" i="13"/>
  <c r="T39" i="13"/>
  <c r="U39" i="13"/>
  <c r="V39" i="13"/>
  <c r="W39" i="13"/>
  <c r="X39" i="13"/>
  <c r="Y39" i="13"/>
  <c r="Z39" i="13"/>
  <c r="AA39" i="13"/>
  <c r="AH39" i="13"/>
  <c r="AI39" i="13"/>
  <c r="AJ39" i="13"/>
  <c r="AK39" i="13"/>
  <c r="AL39" i="13"/>
  <c r="AM39" i="13"/>
  <c r="AN39" i="13"/>
  <c r="AO39" i="13"/>
  <c r="AP39" i="13"/>
  <c r="AQ39" i="13"/>
  <c r="AR39" i="13"/>
  <c r="AS39" i="13"/>
  <c r="AT39" i="13"/>
  <c r="AU39" i="13"/>
  <c r="AV39" i="13"/>
  <c r="AW39" i="13"/>
  <c r="AX39" i="13"/>
  <c r="AY39" i="13"/>
  <c r="AD39" i="13"/>
  <c r="AZ39" i="13"/>
  <c r="J40" i="13"/>
  <c r="K40" i="13"/>
  <c r="L40" i="13"/>
  <c r="M40" i="13"/>
  <c r="N40" i="13"/>
  <c r="O40" i="13"/>
  <c r="P40" i="13"/>
  <c r="Q40" i="13"/>
  <c r="R40" i="13"/>
  <c r="S40" i="13"/>
  <c r="T40" i="13"/>
  <c r="U40" i="13"/>
  <c r="V40" i="13"/>
  <c r="W40" i="13"/>
  <c r="X40" i="13"/>
  <c r="Y40" i="13"/>
  <c r="Z40" i="13"/>
  <c r="AA40" i="13"/>
  <c r="AI40" i="13"/>
  <c r="AJ40" i="13"/>
  <c r="AK40" i="13"/>
  <c r="AL40" i="13"/>
  <c r="AM40" i="13"/>
  <c r="AN40" i="13"/>
  <c r="AO40" i="13"/>
  <c r="AP40" i="13"/>
  <c r="AQ40" i="13"/>
  <c r="AR40" i="13"/>
  <c r="AS40" i="13"/>
  <c r="AT40" i="13"/>
  <c r="AU40" i="13"/>
  <c r="AV40" i="13"/>
  <c r="AW40" i="13"/>
  <c r="AX40" i="13"/>
  <c r="AY40" i="13"/>
  <c r="AD40" i="13"/>
  <c r="AZ40" i="13"/>
  <c r="K41" i="13"/>
  <c r="L41" i="13"/>
  <c r="M41" i="13"/>
  <c r="N41" i="13"/>
  <c r="O41" i="13"/>
  <c r="P41" i="13"/>
  <c r="Q41" i="13"/>
  <c r="R41" i="13"/>
  <c r="S41" i="13"/>
  <c r="T41" i="13"/>
  <c r="U41" i="13"/>
  <c r="V41" i="13"/>
  <c r="W41" i="13"/>
  <c r="X41" i="13"/>
  <c r="Y41" i="13"/>
  <c r="Z41" i="13"/>
  <c r="AA41" i="13"/>
  <c r="AJ41" i="13"/>
  <c r="AK41" i="13"/>
  <c r="AL41" i="13"/>
  <c r="AM41" i="13"/>
  <c r="AN41" i="13"/>
  <c r="AO41" i="13"/>
  <c r="AP41" i="13"/>
  <c r="AQ41" i="13"/>
  <c r="AR41" i="13"/>
  <c r="AS41" i="13"/>
  <c r="AT41" i="13"/>
  <c r="AU41" i="13"/>
  <c r="AV41" i="13"/>
  <c r="AW41" i="13"/>
  <c r="AX41" i="13"/>
  <c r="AY41" i="13"/>
  <c r="AD41" i="13"/>
  <c r="AZ41" i="13"/>
  <c r="L42" i="13"/>
  <c r="M42" i="13"/>
  <c r="N42" i="13"/>
  <c r="O42" i="13"/>
  <c r="P42" i="13"/>
  <c r="Q42" i="13"/>
  <c r="R42" i="13"/>
  <c r="S42" i="13"/>
  <c r="T42" i="13"/>
  <c r="U42" i="13"/>
  <c r="V42" i="13"/>
  <c r="W42" i="13"/>
  <c r="X42" i="13"/>
  <c r="Y42" i="13"/>
  <c r="Z42" i="13"/>
  <c r="AA42" i="13"/>
  <c r="AK42" i="13"/>
  <c r="AL42" i="13"/>
  <c r="AM42" i="13"/>
  <c r="AN42" i="13"/>
  <c r="AO42" i="13"/>
  <c r="AP42" i="13"/>
  <c r="AQ42" i="13"/>
  <c r="AR42" i="13"/>
  <c r="AS42" i="13"/>
  <c r="AT42" i="13"/>
  <c r="AU42" i="13"/>
  <c r="AV42" i="13"/>
  <c r="AW42" i="13"/>
  <c r="AX42" i="13"/>
  <c r="AY42" i="13"/>
  <c r="AD42" i="13"/>
  <c r="AZ42" i="13"/>
  <c r="M43" i="13"/>
  <c r="N43" i="13"/>
  <c r="O43" i="13"/>
  <c r="P43" i="13"/>
  <c r="Q43" i="13"/>
  <c r="R43" i="13"/>
  <c r="S43" i="13"/>
  <c r="T43" i="13"/>
  <c r="U43" i="13"/>
  <c r="V43" i="13"/>
  <c r="W43" i="13"/>
  <c r="X43" i="13"/>
  <c r="Y43" i="13"/>
  <c r="Z43" i="13"/>
  <c r="AA43" i="13"/>
  <c r="AL43" i="13"/>
  <c r="AM43" i="13"/>
  <c r="AN43" i="13"/>
  <c r="AO43" i="13"/>
  <c r="AP43" i="13"/>
  <c r="AQ43" i="13"/>
  <c r="AR43" i="13"/>
  <c r="AS43" i="13"/>
  <c r="AT43" i="13"/>
  <c r="AU43" i="13"/>
  <c r="AV43" i="13"/>
  <c r="AW43" i="13"/>
  <c r="AX43" i="13"/>
  <c r="AY43" i="13"/>
  <c r="AD43" i="13"/>
  <c r="AZ43" i="13"/>
  <c r="N44" i="13"/>
  <c r="O44" i="13"/>
  <c r="P44" i="13"/>
  <c r="Q44" i="13"/>
  <c r="R44" i="13"/>
  <c r="S44" i="13"/>
  <c r="T44" i="13"/>
  <c r="U44" i="13"/>
  <c r="V44" i="13"/>
  <c r="W44" i="13"/>
  <c r="X44" i="13"/>
  <c r="Y44" i="13"/>
  <c r="Z44" i="13"/>
  <c r="AA44" i="13"/>
  <c r="AM44" i="13"/>
  <c r="AN44" i="13"/>
  <c r="AO44" i="13"/>
  <c r="AP44" i="13"/>
  <c r="AQ44" i="13"/>
  <c r="AR44" i="13"/>
  <c r="AS44" i="13"/>
  <c r="AT44" i="13"/>
  <c r="AU44" i="13"/>
  <c r="AV44" i="13"/>
  <c r="AW44" i="13"/>
  <c r="AX44" i="13"/>
  <c r="AY44" i="13"/>
  <c r="AD44" i="13"/>
  <c r="AZ44" i="13"/>
  <c r="O45" i="13"/>
  <c r="P45" i="13"/>
  <c r="Q45" i="13"/>
  <c r="R45" i="13"/>
  <c r="S45" i="13"/>
  <c r="T45" i="13"/>
  <c r="U45" i="13"/>
  <c r="V45" i="13"/>
  <c r="W45" i="13"/>
  <c r="X45" i="13"/>
  <c r="Y45" i="13"/>
  <c r="Z45" i="13"/>
  <c r="AA45" i="13"/>
  <c r="AN45" i="13"/>
  <c r="AO45" i="13"/>
  <c r="AP45" i="13"/>
  <c r="AQ45" i="13"/>
  <c r="AR45" i="13"/>
  <c r="AS45" i="13"/>
  <c r="AT45" i="13"/>
  <c r="AU45" i="13"/>
  <c r="AV45" i="13"/>
  <c r="AW45" i="13"/>
  <c r="AX45" i="13"/>
  <c r="AY45" i="13"/>
  <c r="AD45" i="13"/>
  <c r="AZ45" i="13"/>
  <c r="P46" i="13"/>
  <c r="Q46" i="13"/>
  <c r="R46" i="13"/>
  <c r="S46" i="13"/>
  <c r="T46" i="13"/>
  <c r="U46" i="13"/>
  <c r="V46" i="13"/>
  <c r="W46" i="13"/>
  <c r="X46" i="13"/>
  <c r="Y46" i="13"/>
  <c r="Z46" i="13"/>
  <c r="AA46" i="13"/>
  <c r="AO46" i="13"/>
  <c r="AP46" i="13"/>
  <c r="AQ46" i="13"/>
  <c r="AR46" i="13"/>
  <c r="AS46" i="13"/>
  <c r="AT46" i="13"/>
  <c r="AU46" i="13"/>
  <c r="AV46" i="13"/>
  <c r="AW46" i="13"/>
  <c r="AX46" i="13"/>
  <c r="AY46" i="13"/>
  <c r="AD46" i="13"/>
  <c r="AZ46" i="13"/>
  <c r="Q47" i="13"/>
  <c r="R47" i="13"/>
  <c r="S47" i="13"/>
  <c r="T47" i="13"/>
  <c r="U47" i="13"/>
  <c r="V47" i="13"/>
  <c r="W47" i="13"/>
  <c r="X47" i="13"/>
  <c r="Y47" i="13"/>
  <c r="Z47" i="13"/>
  <c r="AA47" i="13"/>
  <c r="AP47" i="13"/>
  <c r="AQ47" i="13"/>
  <c r="AR47" i="13"/>
  <c r="AS47" i="13"/>
  <c r="AT47" i="13"/>
  <c r="AU47" i="13"/>
  <c r="AV47" i="13"/>
  <c r="AW47" i="13"/>
  <c r="AX47" i="13"/>
  <c r="AY47" i="13"/>
  <c r="AD47" i="13"/>
  <c r="AZ47" i="13"/>
  <c r="R48" i="13"/>
  <c r="S48" i="13"/>
  <c r="T48" i="13"/>
  <c r="U48" i="13"/>
  <c r="V48" i="13"/>
  <c r="W48" i="13"/>
  <c r="X48" i="13"/>
  <c r="Y48" i="13"/>
  <c r="Z48" i="13"/>
  <c r="AA48" i="13"/>
  <c r="AQ48" i="13"/>
  <c r="AR48" i="13"/>
  <c r="AS48" i="13"/>
  <c r="AT48" i="13"/>
  <c r="AU48" i="13"/>
  <c r="AV48" i="13"/>
  <c r="AW48" i="13"/>
  <c r="AX48" i="13"/>
  <c r="AY48" i="13"/>
  <c r="AD48" i="13"/>
  <c r="AZ48" i="13"/>
  <c r="S49" i="13"/>
  <c r="T49" i="13"/>
  <c r="U49" i="13"/>
  <c r="V49" i="13"/>
  <c r="W49" i="13"/>
  <c r="X49" i="13"/>
  <c r="Y49" i="13"/>
  <c r="Z49" i="13"/>
  <c r="AA49" i="13"/>
  <c r="AR49" i="13"/>
  <c r="AS49" i="13"/>
  <c r="AT49" i="13"/>
  <c r="AU49" i="13"/>
  <c r="AV49" i="13"/>
  <c r="AW49" i="13"/>
  <c r="AX49" i="13"/>
  <c r="AY49" i="13"/>
  <c r="AD49" i="13"/>
  <c r="AZ49" i="13"/>
  <c r="T50" i="13"/>
  <c r="U50" i="13"/>
  <c r="V50" i="13"/>
  <c r="W50" i="13"/>
  <c r="X50" i="13"/>
  <c r="Y50" i="13"/>
  <c r="Z50" i="13"/>
  <c r="AA50" i="13"/>
  <c r="AS50" i="13"/>
  <c r="AT50" i="13"/>
  <c r="AU50" i="13"/>
  <c r="AV50" i="13"/>
  <c r="AW50" i="13"/>
  <c r="AX50" i="13"/>
  <c r="AY50" i="13"/>
  <c r="AD50" i="13"/>
  <c r="AZ50" i="13"/>
  <c r="U51" i="13"/>
  <c r="V51" i="13"/>
  <c r="W51" i="13"/>
  <c r="X51" i="13"/>
  <c r="Y51" i="13"/>
  <c r="Z51" i="13"/>
  <c r="AA51" i="13"/>
  <c r="AT51" i="13"/>
  <c r="AU51" i="13"/>
  <c r="AV51" i="13"/>
  <c r="AW51" i="13"/>
  <c r="AX51" i="13"/>
  <c r="AY51" i="13"/>
  <c r="AD51" i="13"/>
  <c r="AZ51" i="13"/>
  <c r="V52" i="13"/>
  <c r="W52" i="13"/>
  <c r="X52" i="13"/>
  <c r="Y52" i="13"/>
  <c r="Z52" i="13"/>
  <c r="AA52" i="13"/>
  <c r="AU52" i="13"/>
  <c r="AV52" i="13"/>
  <c r="AW52" i="13"/>
  <c r="AX52" i="13"/>
  <c r="AY52" i="13"/>
  <c r="AD52" i="13"/>
  <c r="AZ52" i="13"/>
  <c r="W53" i="13"/>
  <c r="X53" i="13"/>
  <c r="Y53" i="13"/>
  <c r="Z53" i="13"/>
  <c r="AA53" i="13"/>
  <c r="AV53" i="13"/>
  <c r="AW53" i="13"/>
  <c r="AX53" i="13"/>
  <c r="AY53" i="13"/>
  <c r="AD53" i="13"/>
  <c r="AZ53" i="13"/>
  <c r="X54" i="13"/>
  <c r="Y54" i="13"/>
  <c r="Z54" i="13"/>
  <c r="AA54" i="13"/>
  <c r="AW54" i="13"/>
  <c r="AX54" i="13"/>
  <c r="AY54" i="13"/>
  <c r="AD54" i="13"/>
  <c r="AZ54" i="13"/>
  <c r="Y55" i="13"/>
  <c r="Z55" i="13"/>
  <c r="AA55" i="13"/>
  <c r="AX55" i="13"/>
  <c r="AY55" i="13"/>
  <c r="AD55" i="13"/>
  <c r="AZ55" i="13"/>
  <c r="Z56" i="13"/>
  <c r="AA56" i="13"/>
  <c r="AY56" i="13"/>
  <c r="AD56" i="13"/>
  <c r="AZ56" i="13"/>
  <c r="D38" i="13"/>
  <c r="D39" i="13"/>
  <c r="D40" i="13"/>
  <c r="D41" i="13"/>
  <c r="D42" i="13"/>
  <c r="D43" i="13"/>
  <c r="D44" i="13"/>
  <c r="D45" i="13"/>
  <c r="D46" i="13"/>
  <c r="D47" i="13"/>
  <c r="D48" i="13"/>
  <c r="D49" i="13"/>
  <c r="D50" i="13"/>
  <c r="D51" i="13"/>
  <c r="D52" i="13"/>
  <c r="D53" i="13"/>
  <c r="D54" i="13"/>
  <c r="D55" i="13"/>
  <c r="D56" i="13"/>
  <c r="D57" i="13"/>
  <c r="AA57" i="13"/>
  <c r="AD57" i="13"/>
  <c r="AZ57" i="13"/>
  <c r="E58" i="13"/>
  <c r="AD58" i="13"/>
  <c r="AG38" i="13"/>
  <c r="AG58" i="13"/>
  <c r="AH38" i="13"/>
  <c r="AH58" i="13"/>
  <c r="AI38" i="13"/>
  <c r="AI58" i="13"/>
  <c r="AJ38" i="13"/>
  <c r="AJ58" i="13"/>
  <c r="AK38" i="13"/>
  <c r="AK58" i="13"/>
  <c r="AL38" i="13"/>
  <c r="AL58" i="13"/>
  <c r="AM38" i="13"/>
  <c r="AM58" i="13"/>
  <c r="AN38" i="13"/>
  <c r="AN58" i="13"/>
  <c r="AO38" i="13"/>
  <c r="AO58" i="13"/>
  <c r="AP38" i="13"/>
  <c r="AP58" i="13"/>
  <c r="AQ38" i="13"/>
  <c r="AQ58" i="13"/>
  <c r="AR38" i="13"/>
  <c r="AR58" i="13"/>
  <c r="AS38" i="13"/>
  <c r="AS58" i="13"/>
  <c r="AT38" i="13"/>
  <c r="AT58" i="13"/>
  <c r="AU38" i="13"/>
  <c r="AU58" i="13"/>
  <c r="AV38" i="13"/>
  <c r="AV58" i="13"/>
  <c r="AW38" i="13"/>
  <c r="AW58" i="13"/>
  <c r="AX38" i="13"/>
  <c r="AX58" i="13"/>
  <c r="AY38" i="13"/>
  <c r="AY58" i="13"/>
  <c r="AD38" i="13"/>
  <c r="AZ38" i="13"/>
  <c r="AZ58" i="13"/>
  <c r="H59" i="13"/>
  <c r="I59" i="13"/>
  <c r="J59" i="13"/>
  <c r="K59" i="13"/>
  <c r="L59" i="13"/>
  <c r="M59" i="13"/>
  <c r="N59" i="13"/>
  <c r="O59" i="13"/>
  <c r="P59" i="13"/>
  <c r="Q59" i="13"/>
  <c r="R59" i="13"/>
  <c r="S59" i="13"/>
  <c r="T59" i="13"/>
  <c r="U59" i="13"/>
  <c r="V59" i="13"/>
  <c r="W59" i="13"/>
  <c r="X59" i="13"/>
  <c r="Y59" i="13"/>
  <c r="Z59" i="13"/>
  <c r="AA59" i="13"/>
  <c r="E39" i="13"/>
  <c r="I38" i="13"/>
  <c r="I58" i="13"/>
  <c r="E39" i="13" a="1"/>
  <c r="C70" i="13"/>
  <c r="I70" i="13"/>
  <c r="J70" i="13"/>
  <c r="K70" i="13"/>
  <c r="L70" i="13"/>
  <c r="M70" i="13"/>
  <c r="N70" i="13"/>
  <c r="O70" i="13"/>
  <c r="P70" i="13"/>
  <c r="Q70" i="13"/>
  <c r="R70" i="13"/>
  <c r="S70" i="13"/>
  <c r="T70" i="13"/>
  <c r="U70" i="13"/>
  <c r="V70" i="13"/>
  <c r="W70" i="13"/>
  <c r="X70" i="13"/>
  <c r="Y70" i="13"/>
  <c r="Z70" i="13"/>
  <c r="AA70" i="13"/>
  <c r="AH70" i="13"/>
  <c r="AI70" i="13"/>
  <c r="AJ70" i="13"/>
  <c r="AK70" i="13"/>
  <c r="AL70" i="13"/>
  <c r="AM70" i="13"/>
  <c r="AN70" i="13"/>
  <c r="AO70" i="13"/>
  <c r="AP70" i="13"/>
  <c r="AQ70" i="13"/>
  <c r="AR70" i="13"/>
  <c r="AS70" i="13"/>
  <c r="AT70" i="13"/>
  <c r="AU70" i="13"/>
  <c r="AV70" i="13"/>
  <c r="AW70" i="13"/>
  <c r="AX70" i="13"/>
  <c r="AY70" i="13"/>
  <c r="E70" i="13"/>
  <c r="I69" i="13"/>
  <c r="I89" i="13"/>
  <c r="E70" i="13" a="1"/>
  <c r="AD70" i="13"/>
  <c r="AZ70" i="13"/>
  <c r="E40" i="13"/>
  <c r="J38" i="13"/>
  <c r="J58" i="13"/>
  <c r="E40" i="13" a="1"/>
  <c r="C71" i="13"/>
  <c r="J71" i="13"/>
  <c r="K71" i="13"/>
  <c r="L71" i="13"/>
  <c r="M71" i="13"/>
  <c r="N71" i="13"/>
  <c r="O71" i="13"/>
  <c r="P71" i="13"/>
  <c r="Q71" i="13"/>
  <c r="R71" i="13"/>
  <c r="S71" i="13"/>
  <c r="T71" i="13"/>
  <c r="U71" i="13"/>
  <c r="V71" i="13"/>
  <c r="W71" i="13"/>
  <c r="X71" i="13"/>
  <c r="Y71" i="13"/>
  <c r="Z71" i="13"/>
  <c r="AA71" i="13"/>
  <c r="AI71" i="13"/>
  <c r="AJ71" i="13"/>
  <c r="AK71" i="13"/>
  <c r="AL71" i="13"/>
  <c r="AM71" i="13"/>
  <c r="AN71" i="13"/>
  <c r="AO71" i="13"/>
  <c r="AP71" i="13"/>
  <c r="AQ71" i="13"/>
  <c r="AR71" i="13"/>
  <c r="AS71" i="13"/>
  <c r="AT71" i="13"/>
  <c r="AU71" i="13"/>
  <c r="AV71" i="13"/>
  <c r="AW71" i="13"/>
  <c r="AX71" i="13"/>
  <c r="AY71" i="13"/>
  <c r="E71" i="13"/>
  <c r="J69" i="13"/>
  <c r="J89" i="13"/>
  <c r="E71" i="13" a="1"/>
  <c r="AD71" i="13"/>
  <c r="AZ71" i="13"/>
  <c r="E41" i="13"/>
  <c r="K38" i="13"/>
  <c r="K58" i="13"/>
  <c r="E41" i="13" a="1"/>
  <c r="C72" i="13"/>
  <c r="K72" i="13"/>
  <c r="L72" i="13"/>
  <c r="M72" i="13"/>
  <c r="N72" i="13"/>
  <c r="O72" i="13"/>
  <c r="P72" i="13"/>
  <c r="Q72" i="13"/>
  <c r="R72" i="13"/>
  <c r="S72" i="13"/>
  <c r="T72" i="13"/>
  <c r="U72" i="13"/>
  <c r="V72" i="13"/>
  <c r="W72" i="13"/>
  <c r="X72" i="13"/>
  <c r="Y72" i="13"/>
  <c r="Z72" i="13"/>
  <c r="AA72" i="13"/>
  <c r="AJ72" i="13"/>
  <c r="AK72" i="13"/>
  <c r="AL72" i="13"/>
  <c r="AM72" i="13"/>
  <c r="AN72" i="13"/>
  <c r="AO72" i="13"/>
  <c r="AP72" i="13"/>
  <c r="AQ72" i="13"/>
  <c r="AR72" i="13"/>
  <c r="AS72" i="13"/>
  <c r="AT72" i="13"/>
  <c r="AU72" i="13"/>
  <c r="AV72" i="13"/>
  <c r="AW72" i="13"/>
  <c r="AX72" i="13"/>
  <c r="AY72" i="13"/>
  <c r="E72" i="13"/>
  <c r="K69" i="13"/>
  <c r="K89" i="13"/>
  <c r="E72" i="13" a="1"/>
  <c r="AD72" i="13"/>
  <c r="AZ72" i="13"/>
  <c r="E42" i="13"/>
  <c r="L38" i="13"/>
  <c r="L58" i="13"/>
  <c r="E42" i="13" a="1"/>
  <c r="C73" i="13"/>
  <c r="L73" i="13"/>
  <c r="M73" i="13"/>
  <c r="N73" i="13"/>
  <c r="O73" i="13"/>
  <c r="P73" i="13"/>
  <c r="Q73" i="13"/>
  <c r="R73" i="13"/>
  <c r="S73" i="13"/>
  <c r="T73" i="13"/>
  <c r="U73" i="13"/>
  <c r="V73" i="13"/>
  <c r="W73" i="13"/>
  <c r="X73" i="13"/>
  <c r="Y73" i="13"/>
  <c r="Z73" i="13"/>
  <c r="AA73" i="13"/>
  <c r="AK73" i="13"/>
  <c r="AL73" i="13"/>
  <c r="AM73" i="13"/>
  <c r="AN73" i="13"/>
  <c r="AO73" i="13"/>
  <c r="AP73" i="13"/>
  <c r="AQ73" i="13"/>
  <c r="AR73" i="13"/>
  <c r="AS73" i="13"/>
  <c r="AT73" i="13"/>
  <c r="AU73" i="13"/>
  <c r="AV73" i="13"/>
  <c r="AW73" i="13"/>
  <c r="AX73" i="13"/>
  <c r="AY73" i="13"/>
  <c r="E73" i="13"/>
  <c r="L69" i="13"/>
  <c r="L89" i="13"/>
  <c r="E73" i="13" a="1"/>
  <c r="AD73" i="13"/>
  <c r="AZ73" i="13"/>
  <c r="E43" i="13"/>
  <c r="M38" i="13"/>
  <c r="M58" i="13"/>
  <c r="E43" i="13" a="1"/>
  <c r="C74" i="13"/>
  <c r="M74" i="13"/>
  <c r="N74" i="13"/>
  <c r="O74" i="13"/>
  <c r="P74" i="13"/>
  <c r="Q74" i="13"/>
  <c r="R74" i="13"/>
  <c r="S74" i="13"/>
  <c r="T74" i="13"/>
  <c r="U74" i="13"/>
  <c r="V74" i="13"/>
  <c r="W74" i="13"/>
  <c r="X74" i="13"/>
  <c r="Y74" i="13"/>
  <c r="Z74" i="13"/>
  <c r="AA74" i="13"/>
  <c r="AL74" i="13"/>
  <c r="AM74" i="13"/>
  <c r="AN74" i="13"/>
  <c r="AO74" i="13"/>
  <c r="AP74" i="13"/>
  <c r="AQ74" i="13"/>
  <c r="AR74" i="13"/>
  <c r="AS74" i="13"/>
  <c r="AT74" i="13"/>
  <c r="AU74" i="13"/>
  <c r="AV74" i="13"/>
  <c r="AW74" i="13"/>
  <c r="AX74" i="13"/>
  <c r="AY74" i="13"/>
  <c r="E74" i="13"/>
  <c r="M69" i="13"/>
  <c r="M89" i="13"/>
  <c r="E74" i="13" a="1"/>
  <c r="AD74" i="13"/>
  <c r="AZ74" i="13"/>
  <c r="E44" i="13"/>
  <c r="N38" i="13"/>
  <c r="N58" i="13"/>
  <c r="E44" i="13" a="1"/>
  <c r="C75" i="13"/>
  <c r="N75" i="13"/>
  <c r="O75" i="13"/>
  <c r="P75" i="13"/>
  <c r="Q75" i="13"/>
  <c r="R75" i="13"/>
  <c r="S75" i="13"/>
  <c r="T75" i="13"/>
  <c r="U75" i="13"/>
  <c r="V75" i="13"/>
  <c r="W75" i="13"/>
  <c r="X75" i="13"/>
  <c r="Y75" i="13"/>
  <c r="Z75" i="13"/>
  <c r="AA75" i="13"/>
  <c r="AM75" i="13"/>
  <c r="AN75" i="13"/>
  <c r="AO75" i="13"/>
  <c r="AP75" i="13"/>
  <c r="AQ75" i="13"/>
  <c r="AR75" i="13"/>
  <c r="AS75" i="13"/>
  <c r="AT75" i="13"/>
  <c r="AU75" i="13"/>
  <c r="AV75" i="13"/>
  <c r="AW75" i="13"/>
  <c r="AX75" i="13"/>
  <c r="AY75" i="13"/>
  <c r="E75" i="13"/>
  <c r="N69" i="13"/>
  <c r="N89" i="13"/>
  <c r="E75" i="13" a="1"/>
  <c r="AD75" i="13"/>
  <c r="AZ75" i="13"/>
  <c r="E45" i="13"/>
  <c r="O38" i="13"/>
  <c r="O58" i="13"/>
  <c r="E45" i="13" a="1"/>
  <c r="C76" i="13"/>
  <c r="O76" i="13"/>
  <c r="P76" i="13"/>
  <c r="Q76" i="13"/>
  <c r="R76" i="13"/>
  <c r="S76" i="13"/>
  <c r="T76" i="13"/>
  <c r="U76" i="13"/>
  <c r="V76" i="13"/>
  <c r="W76" i="13"/>
  <c r="X76" i="13"/>
  <c r="Y76" i="13"/>
  <c r="Z76" i="13"/>
  <c r="AA76" i="13"/>
  <c r="AN76" i="13"/>
  <c r="AO76" i="13"/>
  <c r="AP76" i="13"/>
  <c r="AQ76" i="13"/>
  <c r="AR76" i="13"/>
  <c r="AS76" i="13"/>
  <c r="AT76" i="13"/>
  <c r="AU76" i="13"/>
  <c r="AV76" i="13"/>
  <c r="AW76" i="13"/>
  <c r="AX76" i="13"/>
  <c r="AY76" i="13"/>
  <c r="E76" i="13"/>
  <c r="O69" i="13"/>
  <c r="O89" i="13"/>
  <c r="E76" i="13" a="1"/>
  <c r="AD76" i="13"/>
  <c r="AZ76" i="13"/>
  <c r="E46" i="13"/>
  <c r="P38" i="13"/>
  <c r="P58" i="13"/>
  <c r="E46" i="13" a="1"/>
  <c r="C77" i="13"/>
  <c r="P77" i="13"/>
  <c r="Q77" i="13"/>
  <c r="R77" i="13"/>
  <c r="S77" i="13"/>
  <c r="T77" i="13"/>
  <c r="U77" i="13"/>
  <c r="V77" i="13"/>
  <c r="W77" i="13"/>
  <c r="X77" i="13"/>
  <c r="Y77" i="13"/>
  <c r="Z77" i="13"/>
  <c r="AA77" i="13"/>
  <c r="AO77" i="13"/>
  <c r="AP77" i="13"/>
  <c r="AQ77" i="13"/>
  <c r="AR77" i="13"/>
  <c r="AS77" i="13"/>
  <c r="AT77" i="13"/>
  <c r="AU77" i="13"/>
  <c r="AV77" i="13"/>
  <c r="AW77" i="13"/>
  <c r="AX77" i="13"/>
  <c r="AY77" i="13"/>
  <c r="E77" i="13"/>
  <c r="P69" i="13"/>
  <c r="P89" i="13"/>
  <c r="E77" i="13" a="1"/>
  <c r="AD77" i="13"/>
  <c r="AZ77" i="13"/>
  <c r="E47" i="13"/>
  <c r="Q38" i="13"/>
  <c r="Q58" i="13"/>
  <c r="E47" i="13" a="1"/>
  <c r="C78" i="13"/>
  <c r="Q78" i="13"/>
  <c r="R78" i="13"/>
  <c r="S78" i="13"/>
  <c r="T78" i="13"/>
  <c r="U78" i="13"/>
  <c r="V78" i="13"/>
  <c r="W78" i="13"/>
  <c r="X78" i="13"/>
  <c r="Y78" i="13"/>
  <c r="Z78" i="13"/>
  <c r="AA78" i="13"/>
  <c r="AP78" i="13"/>
  <c r="AQ78" i="13"/>
  <c r="AR78" i="13"/>
  <c r="AS78" i="13"/>
  <c r="AT78" i="13"/>
  <c r="AU78" i="13"/>
  <c r="AV78" i="13"/>
  <c r="AW78" i="13"/>
  <c r="AX78" i="13"/>
  <c r="AY78" i="13"/>
  <c r="E78" i="13"/>
  <c r="Q69" i="13"/>
  <c r="Q89" i="13"/>
  <c r="E78" i="13" a="1"/>
  <c r="AD78" i="13"/>
  <c r="AZ78" i="13"/>
  <c r="E48" i="13"/>
  <c r="R38" i="13"/>
  <c r="R58" i="13"/>
  <c r="E48" i="13" a="1"/>
  <c r="C79" i="13"/>
  <c r="R79" i="13"/>
  <c r="S79" i="13"/>
  <c r="T79" i="13"/>
  <c r="U79" i="13"/>
  <c r="V79" i="13"/>
  <c r="W79" i="13"/>
  <c r="X79" i="13"/>
  <c r="Y79" i="13"/>
  <c r="Z79" i="13"/>
  <c r="AA79" i="13"/>
  <c r="AQ79" i="13"/>
  <c r="AR79" i="13"/>
  <c r="AS79" i="13"/>
  <c r="AT79" i="13"/>
  <c r="AU79" i="13"/>
  <c r="AV79" i="13"/>
  <c r="AW79" i="13"/>
  <c r="AX79" i="13"/>
  <c r="AY79" i="13"/>
  <c r="E79" i="13"/>
  <c r="R69" i="13"/>
  <c r="R89" i="13"/>
  <c r="E79" i="13" a="1"/>
  <c r="AD79" i="13"/>
  <c r="AZ79" i="13"/>
  <c r="E49" i="13"/>
  <c r="S38" i="13"/>
  <c r="S58" i="13"/>
  <c r="E49" i="13" a="1"/>
  <c r="C80" i="13"/>
  <c r="S80" i="13"/>
  <c r="T80" i="13"/>
  <c r="U80" i="13"/>
  <c r="V80" i="13"/>
  <c r="W80" i="13"/>
  <c r="X80" i="13"/>
  <c r="Y80" i="13"/>
  <c r="Z80" i="13"/>
  <c r="AA80" i="13"/>
  <c r="AR80" i="13"/>
  <c r="AS80" i="13"/>
  <c r="AT80" i="13"/>
  <c r="AU80" i="13"/>
  <c r="AV80" i="13"/>
  <c r="AW80" i="13"/>
  <c r="AX80" i="13"/>
  <c r="AY80" i="13"/>
  <c r="E80" i="13"/>
  <c r="S69" i="13"/>
  <c r="S89" i="13"/>
  <c r="E80" i="13" a="1"/>
  <c r="AD80" i="13"/>
  <c r="AZ80" i="13"/>
  <c r="E50" i="13"/>
  <c r="T38" i="13"/>
  <c r="T58" i="13"/>
  <c r="E50" i="13" a="1"/>
  <c r="C81" i="13"/>
  <c r="T81" i="13"/>
  <c r="U81" i="13"/>
  <c r="V81" i="13"/>
  <c r="W81" i="13"/>
  <c r="X81" i="13"/>
  <c r="Y81" i="13"/>
  <c r="Z81" i="13"/>
  <c r="AA81" i="13"/>
  <c r="AS81" i="13"/>
  <c r="AT81" i="13"/>
  <c r="AU81" i="13"/>
  <c r="AV81" i="13"/>
  <c r="AW81" i="13"/>
  <c r="AX81" i="13"/>
  <c r="AY81" i="13"/>
  <c r="E81" i="13"/>
  <c r="T69" i="13"/>
  <c r="T89" i="13"/>
  <c r="E81" i="13" a="1"/>
  <c r="AD81" i="13"/>
  <c r="AZ81" i="13"/>
  <c r="E51" i="13"/>
  <c r="U38" i="13"/>
  <c r="U58" i="13"/>
  <c r="E51" i="13" a="1"/>
  <c r="C82" i="13"/>
  <c r="U82" i="13"/>
  <c r="V82" i="13"/>
  <c r="W82" i="13"/>
  <c r="X82" i="13"/>
  <c r="Y82" i="13"/>
  <c r="Z82" i="13"/>
  <c r="AA82" i="13"/>
  <c r="AT82" i="13"/>
  <c r="AU82" i="13"/>
  <c r="AV82" i="13"/>
  <c r="AW82" i="13"/>
  <c r="AX82" i="13"/>
  <c r="AY82" i="13"/>
  <c r="E82" i="13"/>
  <c r="U69" i="13"/>
  <c r="U89" i="13"/>
  <c r="E82" i="13" a="1"/>
  <c r="AD82" i="13"/>
  <c r="AZ82" i="13"/>
  <c r="E52" i="13"/>
  <c r="V38" i="13"/>
  <c r="V58" i="13"/>
  <c r="E52" i="13" a="1"/>
  <c r="C83" i="13"/>
  <c r="V83" i="13"/>
  <c r="W83" i="13"/>
  <c r="X83" i="13"/>
  <c r="Y83" i="13"/>
  <c r="Z83" i="13"/>
  <c r="AA83" i="13"/>
  <c r="AU83" i="13"/>
  <c r="AV83" i="13"/>
  <c r="AW83" i="13"/>
  <c r="AX83" i="13"/>
  <c r="AY83" i="13"/>
  <c r="E83" i="13"/>
  <c r="V69" i="13"/>
  <c r="V89" i="13"/>
  <c r="E83" i="13" a="1"/>
  <c r="AD83" i="13"/>
  <c r="AZ83" i="13"/>
  <c r="E53" i="13"/>
  <c r="W38" i="13"/>
  <c r="W58" i="13"/>
  <c r="E53" i="13" a="1"/>
  <c r="C84" i="13"/>
  <c r="W84" i="13"/>
  <c r="X84" i="13"/>
  <c r="Y84" i="13"/>
  <c r="Z84" i="13"/>
  <c r="AA84" i="13"/>
  <c r="AV84" i="13"/>
  <c r="AW84" i="13"/>
  <c r="AX84" i="13"/>
  <c r="AY84" i="13"/>
  <c r="E84" i="13"/>
  <c r="W69" i="13"/>
  <c r="W89" i="13"/>
  <c r="E84" i="13" a="1"/>
  <c r="AD84" i="13"/>
  <c r="AZ84" i="13"/>
  <c r="E54" i="13"/>
  <c r="X38" i="13"/>
  <c r="X58" i="13"/>
  <c r="E54" i="13" a="1"/>
  <c r="C85" i="13"/>
  <c r="X85" i="13"/>
  <c r="Y85" i="13"/>
  <c r="Z85" i="13"/>
  <c r="AA85" i="13"/>
  <c r="AW85" i="13"/>
  <c r="AX85" i="13"/>
  <c r="AY85" i="13"/>
  <c r="E85" i="13"/>
  <c r="X69" i="13"/>
  <c r="X89" i="13"/>
  <c r="E85" i="13" a="1"/>
  <c r="AD85" i="13"/>
  <c r="AZ85" i="13"/>
  <c r="E55" i="13"/>
  <c r="Y38" i="13"/>
  <c r="Y58" i="13"/>
  <c r="E55" i="13" a="1"/>
  <c r="C86" i="13"/>
  <c r="Y86" i="13"/>
  <c r="Z86" i="13"/>
  <c r="AA86" i="13"/>
  <c r="AX86" i="13"/>
  <c r="AY86" i="13"/>
  <c r="E86" i="13"/>
  <c r="Y69" i="13"/>
  <c r="Y89" i="13"/>
  <c r="E86" i="13" a="1"/>
  <c r="AD86" i="13"/>
  <c r="AZ86" i="13"/>
  <c r="E56" i="13"/>
  <c r="Z38" i="13"/>
  <c r="Z58" i="13"/>
  <c r="E56" i="13" a="1"/>
  <c r="C87" i="13"/>
  <c r="Z87" i="13"/>
  <c r="AA87" i="13"/>
  <c r="AY87" i="13"/>
  <c r="E87" i="13"/>
  <c r="Z69" i="13"/>
  <c r="Z89" i="13"/>
  <c r="E87" i="13" a="1"/>
  <c r="AD87" i="13"/>
  <c r="AZ87" i="13"/>
  <c r="B69" i="13"/>
  <c r="B70" i="13"/>
  <c r="B71" i="13"/>
  <c r="B72" i="13"/>
  <c r="B73" i="13"/>
  <c r="B74" i="13"/>
  <c r="B75" i="13"/>
  <c r="B76" i="13"/>
  <c r="B77" i="13"/>
  <c r="B78" i="13"/>
  <c r="B79" i="13"/>
  <c r="B80" i="13"/>
  <c r="B81" i="13"/>
  <c r="B82" i="13"/>
  <c r="B83" i="13"/>
  <c r="B84" i="13"/>
  <c r="B85" i="13"/>
  <c r="B86" i="13"/>
  <c r="B87" i="13"/>
  <c r="B88" i="13"/>
  <c r="E57" i="13"/>
  <c r="AA38" i="13"/>
  <c r="AA58" i="13"/>
  <c r="E57" i="13" a="1"/>
  <c r="C88" i="13"/>
  <c r="D69" i="13"/>
  <c r="D70" i="13"/>
  <c r="D71" i="13"/>
  <c r="D72" i="13"/>
  <c r="D73" i="13"/>
  <c r="D74" i="13"/>
  <c r="D75" i="13"/>
  <c r="D76" i="13"/>
  <c r="D77" i="13"/>
  <c r="D78" i="13"/>
  <c r="D79" i="13"/>
  <c r="D80" i="13"/>
  <c r="D81" i="13"/>
  <c r="D82" i="13"/>
  <c r="D83" i="13"/>
  <c r="D84" i="13"/>
  <c r="D85" i="13"/>
  <c r="D86" i="13"/>
  <c r="D87" i="13"/>
  <c r="D88" i="13"/>
  <c r="AA88" i="13"/>
  <c r="E88" i="13"/>
  <c r="AA69" i="13"/>
  <c r="AA89" i="13"/>
  <c r="E88" i="13" a="1"/>
  <c r="AD88" i="13"/>
  <c r="AZ88" i="13"/>
  <c r="E38" i="13"/>
  <c r="H38" i="13"/>
  <c r="H58" i="13"/>
  <c r="E38" i="13" a="1"/>
  <c r="C69" i="13"/>
  <c r="C89" i="13"/>
  <c r="E89" i="13"/>
  <c r="AD89" i="13"/>
  <c r="AG69" i="13"/>
  <c r="AG89" i="13"/>
  <c r="AH69" i="13"/>
  <c r="AH89" i="13"/>
  <c r="AI69" i="13"/>
  <c r="AI89" i="13"/>
  <c r="AJ69" i="13"/>
  <c r="AJ89" i="13"/>
  <c r="AK69" i="13"/>
  <c r="AK89" i="13"/>
  <c r="AL69" i="13"/>
  <c r="AL89" i="13"/>
  <c r="AM69" i="13"/>
  <c r="AM89" i="13"/>
  <c r="AN69" i="13"/>
  <c r="AN89" i="13"/>
  <c r="AO69" i="13"/>
  <c r="AO89" i="13"/>
  <c r="AP69" i="13"/>
  <c r="AP89" i="13"/>
  <c r="AQ69" i="13"/>
  <c r="AQ89" i="13"/>
  <c r="AR69" i="13"/>
  <c r="AR89" i="13"/>
  <c r="AS69" i="13"/>
  <c r="AS89" i="13"/>
  <c r="AT69" i="13"/>
  <c r="AT89" i="13"/>
  <c r="AU69" i="13"/>
  <c r="AU89" i="13"/>
  <c r="AV69" i="13"/>
  <c r="AV89" i="13"/>
  <c r="AW69" i="13"/>
  <c r="AW89" i="13"/>
  <c r="AX69" i="13"/>
  <c r="AX89" i="13"/>
  <c r="AY69" i="13"/>
  <c r="AY89" i="13"/>
  <c r="AD69" i="13"/>
  <c r="AZ69" i="13"/>
  <c r="AZ89" i="13"/>
  <c r="E69" i="13"/>
  <c r="E69" i="13" a="1"/>
  <c r="H69" i="13"/>
  <c r="H89" i="13"/>
  <c r="H90" i="13"/>
  <c r="I90" i="13"/>
  <c r="J90" i="13"/>
  <c r="K90" i="13"/>
  <c r="L90" i="13"/>
  <c r="M90" i="13"/>
  <c r="N90" i="13"/>
  <c r="O90" i="13"/>
  <c r="P90" i="13"/>
  <c r="Q90" i="13"/>
  <c r="R90" i="13"/>
  <c r="S90" i="13"/>
  <c r="T90" i="13"/>
  <c r="U90" i="13"/>
  <c r="V90" i="13"/>
  <c r="W90" i="13"/>
  <c r="X90" i="13"/>
  <c r="Y90" i="13"/>
  <c r="Z90" i="13"/>
  <c r="AA9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Reed Miller</author>
    <author>Miller, Travis</author>
  </authors>
  <commentList>
    <comment ref="C3" authorId="0" shapeId="0" xr:uid="{B94B9C6A-8C91-4615-AB9B-EE138A57680F}">
      <text/>
    </comment>
    <comment ref="T5" authorId="1" shapeId="0" xr:uid="{75778B13-B8D6-4DFD-8F7E-2D76E1FE2C9B}">
      <text>
        <r>
          <rPr>
            <b/>
            <sz val="9"/>
            <color indexed="81"/>
            <rFont val="Tahoma"/>
            <family val="2"/>
          </rPr>
          <t>Miller, Travis:</t>
        </r>
        <r>
          <rPr>
            <sz val="9"/>
            <color indexed="81"/>
            <rFont val="Tahoma"/>
            <family val="2"/>
          </rPr>
          <t xml:space="preserve">
Negative for Chart</t>
        </r>
      </text>
    </comment>
    <comment ref="T23" authorId="1" shapeId="0" xr:uid="{BF94AEFF-2F47-45D2-9E46-0BA475AF12C4}">
      <text>
        <r>
          <rPr>
            <b/>
            <sz val="9"/>
            <color indexed="81"/>
            <rFont val="Tahoma"/>
            <family val="2"/>
          </rPr>
          <t>Miller, Travis:</t>
        </r>
        <r>
          <rPr>
            <sz val="9"/>
            <color indexed="81"/>
            <rFont val="Tahoma"/>
            <family val="2"/>
          </rPr>
          <t xml:space="preserve">
Negative for Chart</t>
        </r>
      </text>
    </comment>
    <comment ref="T39" authorId="1" shapeId="0" xr:uid="{3F3E271B-E423-4F87-9E00-80238160F4DA}">
      <text>
        <r>
          <rPr>
            <b/>
            <sz val="9"/>
            <color indexed="81"/>
            <rFont val="Tahoma"/>
            <family val="2"/>
          </rPr>
          <t>Miller, Travis:</t>
        </r>
        <r>
          <rPr>
            <sz val="9"/>
            <color indexed="81"/>
            <rFont val="Tahoma"/>
            <family val="2"/>
          </rPr>
          <t xml:space="preserve">
Negative for Chart</t>
        </r>
      </text>
    </comment>
    <comment ref="T55" authorId="1" shapeId="0" xr:uid="{B02E390F-94E0-4E34-BEB9-35BF89261405}">
      <text>
        <r>
          <rPr>
            <b/>
            <sz val="9"/>
            <color indexed="81"/>
            <rFont val="Tahoma"/>
            <family val="2"/>
          </rPr>
          <t>Miller, Travis:</t>
        </r>
        <r>
          <rPr>
            <sz val="9"/>
            <color indexed="81"/>
            <rFont val="Tahoma"/>
            <family val="2"/>
          </rPr>
          <t xml:space="preserve">
Negative for Chart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Reed Miller</author>
    <author>Miller, Reed</author>
  </authors>
  <commentList>
    <comment ref="E7" authorId="0" shapeId="0" xr:uid="{302783D1-1771-40BC-915B-0A80BEB12F96}">
      <text>
        <r>
          <rPr>
            <b/>
            <sz val="9"/>
            <color indexed="81"/>
            <rFont val="Tahoma"/>
            <family val="2"/>
          </rPr>
          <t>This is the cumulative distribution function (CDF) for a Weibull distribution</t>
        </r>
      </text>
    </comment>
    <comment ref="E8" authorId="0" shapeId="0" xr:uid="{E6F38610-8989-4359-8A7B-90CEB3ABE704}">
      <text>
        <r>
          <rPr>
            <b/>
            <sz val="9"/>
            <color indexed="81"/>
            <rFont val="Tahoma"/>
            <family val="2"/>
          </rPr>
          <t>The discrete probability density function (PDF) is calculated as the difference between intervals of the cumulative density function (CDF)</t>
        </r>
      </text>
    </comment>
    <comment ref="E36" authorId="1" shapeId="0" xr:uid="{ADD74BEA-6A51-4148-979E-F6D885DB6869}">
      <text>
        <r>
          <rPr>
            <b/>
            <sz val="11"/>
            <color indexed="81"/>
            <rFont val="Tahoma"/>
            <family val="2"/>
          </rPr>
          <t>Rebuild all the homes demolished that year</t>
        </r>
        <r>
          <rPr>
            <sz val="9"/>
            <color indexed="81"/>
            <rFont val="Tahoma"/>
            <family val="2"/>
          </rPr>
          <t xml:space="preserve">
</t>
        </r>
      </text>
    </comment>
    <comment ref="E67" authorId="1" shapeId="0" xr:uid="{01655F54-BB1B-4F63-B565-EAE5BF94BE96}">
      <text>
        <r>
          <rPr>
            <b/>
            <sz val="11"/>
            <color indexed="81"/>
            <rFont val="Tahoma"/>
            <family val="2"/>
          </rPr>
          <t>Rebuild all the homes demolished that year</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Miller, Reed</author>
  </authors>
  <commentList>
    <comment ref="E33" authorId="0" shapeId="0" xr:uid="{7FDEC6E0-B9C9-4FA6-B4A7-1CFB18C3FB25}">
      <text>
        <r>
          <rPr>
            <b/>
            <sz val="11"/>
            <color indexed="81"/>
            <rFont val="Tahoma"/>
            <family val="2"/>
          </rPr>
          <t>Rebuild all the homes demolished that year</t>
        </r>
        <r>
          <rPr>
            <sz val="9"/>
            <color indexed="81"/>
            <rFont val="Tahoma"/>
            <family val="2"/>
          </rPr>
          <t xml:space="preserve">
</t>
        </r>
      </text>
    </comment>
    <comment ref="E64" authorId="0" shapeId="0" xr:uid="{01C79B89-528F-44D3-8CA1-521B2EFB6284}">
      <text>
        <r>
          <rPr>
            <b/>
            <sz val="11"/>
            <color indexed="81"/>
            <rFont val="Tahoma"/>
            <family val="2"/>
          </rPr>
          <t>Rebuild all the homes demolished that year</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Reed Miller</author>
  </authors>
  <commentList>
    <comment ref="E7" authorId="0" shapeId="0" xr:uid="{8E440790-15B7-49C8-9B6E-DCD06BD51820}">
      <text>
        <r>
          <rPr>
            <b/>
            <sz val="9"/>
            <color indexed="81"/>
            <rFont val="Tahoma"/>
            <family val="2"/>
          </rPr>
          <t>This is the cumulative distribution function (CDF) for a Weibull distribution</t>
        </r>
      </text>
    </comment>
    <comment ref="E8" authorId="0" shapeId="0" xr:uid="{DB394615-CC96-40B8-A44D-EF28B852F1F6}">
      <text>
        <r>
          <rPr>
            <b/>
            <sz val="9"/>
            <color indexed="81"/>
            <rFont val="Tahoma"/>
            <family val="2"/>
          </rPr>
          <t>The discrete probability density function (PDF) is calculated as the difference between intervals of the cumulative density function (CDF)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Reed Miller</author>
  </authors>
  <commentList>
    <comment ref="E7" authorId="0" shapeId="0" xr:uid="{F0C64C41-5435-480C-8FBC-E2FA5AE0365D}">
      <text>
        <r>
          <rPr>
            <b/>
            <sz val="9"/>
            <color indexed="81"/>
            <rFont val="Tahoma"/>
            <family val="2"/>
          </rPr>
          <t>This is the cumulative distribution function (CDF) for a Weibull distribution</t>
        </r>
      </text>
    </comment>
    <comment ref="E8" authorId="0" shapeId="0" xr:uid="{EB8DCB79-C0AA-4401-9058-A3A3863AAED0}">
      <text>
        <r>
          <rPr>
            <b/>
            <sz val="9"/>
            <color indexed="81"/>
            <rFont val="Tahoma"/>
            <family val="2"/>
          </rPr>
          <t>The discrete probability density function (PDF) is calculated as the difference between intervals of the cumulative density function (CDF)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<sst xmlns="http://schemas.openxmlformats.org/spreadsheetml/2006/main" count="581" uniqueCount="129">
  <si>
    <t>Brick</t>
  </si>
  <si>
    <t xml:space="preserve">Wood </t>
  </si>
  <si>
    <t>Metal</t>
  </si>
  <si>
    <t>Glass</t>
  </si>
  <si>
    <t>Total</t>
  </si>
  <si>
    <t>Year</t>
  </si>
  <si>
    <t>Flow In</t>
  </si>
  <si>
    <t>Flow Out</t>
  </si>
  <si>
    <t>Stock</t>
  </si>
  <si>
    <t>Stock Δ</t>
  </si>
  <si>
    <t>Type</t>
  </si>
  <si>
    <t>SF</t>
  </si>
  <si>
    <t>Brick for Reuse</t>
  </si>
  <si>
    <t>Metal for Recycling</t>
  </si>
  <si>
    <t>Wood for Reuse</t>
  </si>
  <si>
    <t>Combined Waste</t>
  </si>
  <si>
    <t>Construction</t>
  </si>
  <si>
    <t>Total Materials</t>
  </si>
  <si>
    <t>Wood</t>
  </si>
  <si>
    <t>Construction Scrap</t>
  </si>
  <si>
    <t>Stays In Building</t>
  </si>
  <si>
    <t>MF</t>
  </si>
  <si>
    <t>N/A</t>
  </si>
  <si>
    <t>Built (B)</t>
  </si>
  <si>
    <t>Demolish (D)</t>
  </si>
  <si>
    <r>
      <t xml:space="preserve">Stock (S) </t>
    </r>
    <r>
      <rPr>
        <i/>
        <sz val="11"/>
        <color rgb="FF000000"/>
        <rFont val="Calibri"/>
        <family val="2"/>
        <scheme val="minor"/>
      </rPr>
      <t>calc.</t>
    </r>
  </si>
  <si>
    <r>
      <t xml:space="preserve">Stock (S) </t>
    </r>
    <r>
      <rPr>
        <i/>
        <sz val="11"/>
        <color rgb="FF000000"/>
        <rFont val="Calibri"/>
        <family val="2"/>
        <scheme val="minor"/>
      </rPr>
      <t>count</t>
    </r>
  </si>
  <si>
    <r>
      <t xml:space="preserve">Stock (S) </t>
    </r>
    <r>
      <rPr>
        <i/>
        <sz val="11"/>
        <color rgb="FF000000"/>
        <rFont val="Calibri"/>
        <family val="2"/>
        <scheme val="minor"/>
      </rPr>
      <t>sum</t>
    </r>
  </si>
  <si>
    <r>
      <t xml:space="preserve">Home Tracker: </t>
    </r>
    <r>
      <rPr>
        <b/>
        <sz val="14"/>
        <color rgb="FFF14124"/>
        <rFont val="Calibri"/>
        <family val="2"/>
        <scheme val="minor"/>
      </rPr>
      <t xml:space="preserve">Construction Manager (CM) </t>
    </r>
    <r>
      <rPr>
        <b/>
        <sz val="14"/>
        <color theme="1"/>
        <rFont val="Calibri"/>
        <family val="2"/>
        <scheme val="minor"/>
      </rPr>
      <t>and</t>
    </r>
    <r>
      <rPr>
        <b/>
        <sz val="14"/>
        <color rgb="FFF14124"/>
        <rFont val="Calibri"/>
        <family val="2"/>
        <scheme val="minor"/>
      </rPr>
      <t xml:space="preserve"> </t>
    </r>
    <r>
      <rPr>
        <b/>
        <sz val="14"/>
        <color rgb="FF34AB8A"/>
        <rFont val="Calibri"/>
        <family val="2"/>
        <scheme val="minor"/>
      </rPr>
      <t>Debris and Demolition Manager (DDM)</t>
    </r>
  </si>
  <si>
    <t>Reuse/Recycled</t>
  </si>
  <si>
    <t>Disposition After Demolition</t>
  </si>
  <si>
    <t>Material Fate</t>
  </si>
  <si>
    <t>Material</t>
  </si>
  <si>
    <t>Materials in Buildings in Stock: SF</t>
  </si>
  <si>
    <t>Materials in Buildings in Stock: MF</t>
  </si>
  <si>
    <t>Action</t>
  </si>
  <si>
    <t>Flow Tracker: Materials Warehouse Manager (MWM)</t>
  </si>
  <si>
    <t>Fill In:</t>
  </si>
  <si>
    <t>Combined Scrap &amp;</t>
  </si>
  <si>
    <t>Debris for Landfill</t>
  </si>
  <si>
    <r>
      <t>Flow Tracker:</t>
    </r>
    <r>
      <rPr>
        <b/>
        <sz val="16"/>
        <rFont val="Calibri Light"/>
        <family val="2"/>
      </rPr>
      <t xml:space="preserve"> </t>
    </r>
    <r>
      <rPr>
        <sz val="16"/>
        <rFont val="Calibri Light"/>
        <family val="2"/>
      </rPr>
      <t>Waste &amp; Recycling Manager (</t>
    </r>
    <r>
      <rPr>
        <b/>
        <sz val="16"/>
        <rFont val="Calibri Light"/>
        <family val="2"/>
      </rPr>
      <t>WRM</t>
    </r>
    <r>
      <rPr>
        <sz val="16"/>
        <rFont val="Calibri Light"/>
        <family val="2"/>
      </rPr>
      <t>)</t>
    </r>
  </si>
  <si>
    <t>Flow Tracker: Construction Manager (CM) and Debris and Demolition Manager (DDM)</t>
  </si>
  <si>
    <t>Overall: All Materials, All Roles</t>
  </si>
  <si>
    <t>Dynamic MFA Activity: Decades in Candy Town</t>
  </si>
  <si>
    <t>1 Sweet Street</t>
  </si>
  <si>
    <t>2 Sweet Street</t>
  </si>
  <si>
    <t>3 Sweet Street</t>
  </si>
  <si>
    <t>4 Sweet Street</t>
  </si>
  <si>
    <t>5 Sweet Street</t>
  </si>
  <si>
    <t>6 Sweet Street</t>
  </si>
  <si>
    <t>1-3 Sugar Ave</t>
  </si>
  <si>
    <t>5-7 Sugar Ave</t>
  </si>
  <si>
    <t>2-4 Sugar Ave</t>
  </si>
  <si>
    <t>6-8 Sugar Ave</t>
  </si>
  <si>
    <t>Total Debris</t>
  </si>
  <si>
    <t>Materials in Buildings in Stock: Both</t>
  </si>
  <si>
    <t>Both</t>
  </si>
  <si>
    <t>Materials for Construction: SF</t>
  </si>
  <si>
    <t>Materials for Construction: MF</t>
  </si>
  <si>
    <t>Materials for Construction: Both</t>
  </si>
  <si>
    <t>Materials from Demolished Buildings for Reuse/Recycling: SF</t>
  </si>
  <si>
    <t>Materials from Demolished Buildings for Reuse/Recycling: MF</t>
  </si>
  <si>
    <t>Materials from Demolished Buildings for Reuse/Recycling: Both</t>
  </si>
  <si>
    <t>Total Materials from Demolished Buildings: SF</t>
  </si>
  <si>
    <t>Total Materials from Demolished Buildings: MF</t>
  </si>
  <si>
    <t>Total Materials from Demolished Buildings: Both</t>
  </si>
  <si>
    <t>Construction Scrap: SF</t>
  </si>
  <si>
    <t>Construction Scrap: MF</t>
  </si>
  <si>
    <t>Construction Scrap: Both</t>
  </si>
  <si>
    <t>Lifespan</t>
  </si>
  <si>
    <t>Candy Town Lifespan Distribution</t>
  </si>
  <si>
    <t>Percent</t>
  </si>
  <si>
    <t>Years Shifted Later:</t>
  </si>
  <si>
    <t>Year Built</t>
  </si>
  <si>
    <t># Built</t>
  </si>
  <si>
    <t>TOTAL</t>
  </si>
  <si>
    <t>Hummus Town House Demolitions, Using Candy Town Lifespan Distribution</t>
  </si>
  <si>
    <t>Hummus Town Longer Lifespan Distribution</t>
  </si>
  <si>
    <t>Hummus Town House Demolitions, Using Hummus Town Longer Lifespan Distribution</t>
  </si>
  <si>
    <t>Year House Demolished</t>
  </si>
  <si>
    <t>Hummus Town House Stock, Using Candy Town Lifespan Distribution</t>
  </si>
  <si>
    <t>Hummus Town House Stock, Using Hummus Town Longer Lifespan Distribution</t>
  </si>
  <si>
    <t>Year House in Stock</t>
  </si>
  <si>
    <t>(must be multiple of 10)</t>
  </si>
  <si>
    <t>This spreadsheet accompanies the handouts for this  activity.</t>
  </si>
  <si>
    <t>Year House Demolished &amp; Rebuilt</t>
  </si>
  <si>
    <t>Houses Built</t>
  </si>
  <si>
    <t>Annual</t>
  </si>
  <si>
    <t xml:space="preserve">Constant stock of homes: </t>
  </si>
  <si>
    <t>Building Designers in Hummus Town want to explore what would happen if they make their buildings last longer.  Change the "Years Shifted Later" cell to see, and change the "Constant Stock of Homes"</t>
  </si>
  <si>
    <t>Not Built</t>
  </si>
  <si>
    <t xml:space="preserve">Initial stock of homes: </t>
  </si>
  <si>
    <t>Change</t>
  </si>
  <si>
    <t>Building Designers in Hummus Town want to explore what would happen if they make their buildings last longer.</t>
  </si>
  <si>
    <t>Reed Miller, reed.miller@maine.edu</t>
  </si>
  <si>
    <t>Hummus Town House Demolitions, Using Hummus Town Lifespan Distribution</t>
  </si>
  <si>
    <t>Hummus Town House Stock, Using Hummus Town Lifespan Distribution</t>
  </si>
  <si>
    <t>Fill in B, S, or D:</t>
  </si>
  <si>
    <t>Materials for Construction</t>
  </si>
  <si>
    <t>Materials in Stock</t>
  </si>
  <si>
    <t>Construction Scrap Materials</t>
  </si>
  <si>
    <t>Materials from Demolished Buildings</t>
  </si>
  <si>
    <t>Materials for Reuse / Recycling</t>
  </si>
  <si>
    <t>Link to results:</t>
  </si>
  <si>
    <t>Decadal growth rate of stock:</t>
  </si>
  <si>
    <t>Cumulative</t>
  </si>
  <si>
    <t>Challenge: make charts like these for particular materials!</t>
  </si>
  <si>
    <t xml:space="preserve">Assume they build an initial stock of homes in 2080, and then stock increases at a fixed growth rate each decade. </t>
  </si>
  <si>
    <t>Change the "Years Shifted Later" cell. Can also change the number (#) built each decade.</t>
  </si>
  <si>
    <t>GNU General Public License v3.0</t>
  </si>
  <si>
    <t>https://github.com/treedmiller/candytown-mfa</t>
  </si>
  <si>
    <t>Cumul. %</t>
  </si>
  <si>
    <t>Discrete %</t>
  </si>
  <si>
    <t>Weibull Parameters</t>
  </si>
  <si>
    <t>shift</t>
  </si>
  <si>
    <t>shape</t>
  </si>
  <si>
    <t>scale</t>
  </si>
  <si>
    <t>Building Designers in Hummus Town want to explore what would happen if they make their buildings last longer, by shifting the lifespan later.</t>
  </si>
  <si>
    <t>They 'guesstimate' how many homes they will build in the future instead of assuming a growth rate (cells E34:E54)</t>
  </si>
  <si>
    <t>Change the "Years Shifted Later", the "Initial Stock of Homes" (cell G15), and the "Decadal growth rate of stock" (cell L15)</t>
  </si>
  <si>
    <t>Cumulative Distribution</t>
  </si>
  <si>
    <t xml:space="preserve">Discrete Probability </t>
  </si>
  <si>
    <t>Count</t>
  </si>
  <si>
    <t>B year</t>
  </si>
  <si>
    <t>D year</t>
  </si>
  <si>
    <t>Percent of Count</t>
  </si>
  <si>
    <t>B</t>
  </si>
  <si>
    <t>S</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</si>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</sst>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9" x14ac:knownFonts="1">
    <font>
      <sz val="11"/>
      <color theme="1"/>
      <name val="Calibri"/>
      <family val="2"/>
      <scheme val="minor"/>
    </font>
    <font>
      <b/>
      <sz val="11"/>
      <color theme="1"/>
      <name val="Calibri"/>
      <family val="2"/>
      <scheme val="minor"/>
    </font>
    <font>
      <b/>
      <sz val="14"/>
      <color rgb="FFF14124"/>
      <name val="Calibri"/>
      <family val="2"/>
      <scheme val="minor"/>
    </font>
    <font>
      <b/>
      <sz val="14"/>
      <color theme="1"/>
      <name val="Calibri"/>
      <family val="2"/>
      <scheme val="minor"/>
    </font>
    <font>
      <b/>
      <sz val="14"/>
      <color rgb="FF34AB8A"/>
      <name val="Calibri"/>
      <family val="2"/>
      <scheme val="minor"/>
    </font>
    <font>
      <b/>
      <sz val="11"/>
      <color rgb="FF000000"/>
      <name val="Calibri"/>
      <family val="2"/>
      <scheme val="minor"/>
    </font>
    <font>
      <sz val="11"/>
      <color rgb="FF000000"/>
      <name val="Calibri"/>
      <family val="2"/>
      <scheme val="minor"/>
    </font>
    <font>
      <sz val="10"/>
      <color theme="1"/>
      <name val="Times New Roman"/>
      <family val="1"/>
    </font>
    <font>
      <i/>
      <sz val="11"/>
      <color rgb="FF000000"/>
      <name val="Calibri"/>
      <family val="2"/>
      <scheme val="minor"/>
    </font>
    <font>
      <sz val="16"/>
      <name val="Calibri Light"/>
      <family val="2"/>
    </font>
    <font>
      <sz val="14"/>
      <color rgb="FF000000"/>
      <name val="Calibri"/>
      <family val="2"/>
      <scheme val="minor"/>
    </font>
    <font>
      <b/>
      <sz val="14"/>
      <color rgb="FF000000"/>
      <name val="Calibri"/>
      <family val="2"/>
      <scheme val="minor"/>
    </font>
    <font>
      <sz val="12"/>
      <color rgb="FF000000"/>
      <name val="Calibri"/>
      <family val="2"/>
      <scheme val="minor"/>
    </font>
    <font>
      <sz val="12"/>
      <color theme="1"/>
      <name val="Calibri"/>
      <family val="2"/>
      <scheme val="minor"/>
    </font>
    <font>
      <sz val="16"/>
      <name val="Calibri"/>
      <family val="2"/>
    </font>
    <font>
      <b/>
      <sz val="16"/>
      <name val="Calibri Light"/>
      <family val="2"/>
    </font>
    <font>
      <sz val="9"/>
      <color indexed="81"/>
      <name val="Tahoma"/>
      <family val="2"/>
    </font>
    <font>
      <b/>
      <sz val="9"/>
      <color indexed="81"/>
      <name val="Tahoma"/>
      <family val="2"/>
    </font>
    <font>
      <sz val="28"/>
      <color theme="1"/>
      <name val="Calibri Light"/>
      <family val="2"/>
    </font>
    <font>
      <sz val="11"/>
      <color theme="1"/>
      <name val="Calibri"/>
      <family val="2"/>
      <scheme val="minor"/>
    </font>
    <font>
      <sz val="11"/>
      <color rgb="FFFF0000"/>
      <name val="Calibri"/>
      <family val="2"/>
      <scheme val="minor"/>
    </font>
    <font>
      <b/>
      <sz val="10"/>
      <color theme="1"/>
      <name val="Calibri"/>
      <family val="2"/>
      <scheme val="minor"/>
    </font>
    <font>
      <b/>
      <sz val="9"/>
      <color theme="1"/>
      <name val="Calibri"/>
      <family val="2"/>
      <scheme val="minor"/>
    </font>
    <font>
      <b/>
      <sz val="18"/>
      <color theme="1"/>
      <name val="Calibri"/>
      <family val="2"/>
      <scheme val="minor"/>
    </font>
    <font>
      <b/>
      <sz val="11"/>
      <color indexed="81"/>
      <name val="Tahoma"/>
      <family val="2"/>
    </font>
    <font>
      <u/>
      <sz val="11"/>
      <color theme="10"/>
      <name val="Calibri"/>
      <family val="2"/>
      <scheme val="minor"/>
    </font>
    <font>
      <u/>
      <sz val="11"/>
      <color theme="4"/>
      <name val="Calibri"/>
      <family val="2"/>
      <scheme val="minor"/>
    </font>
    <font>
      <sz val="11"/>
      <color theme="4"/>
      <name val="Calibri"/>
      <family val="2"/>
      <scheme val="minor"/>
    </font>
    <font>
      <sz val="14"/>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DEF4FC"/>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E5D2"/>
        <bgColor indexed="64"/>
      </patternFill>
    </fill>
  </fills>
  <borders count="8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ck">
        <color indexed="64"/>
      </right>
      <top/>
      <bottom style="thick">
        <color indexed="64"/>
      </bottom>
      <diagonal/>
    </border>
    <border>
      <left/>
      <right style="medium">
        <color rgb="FF9EE0F7"/>
      </right>
      <top/>
      <bottom style="medium">
        <color rgb="FF9EE0F7"/>
      </bottom>
      <diagonal/>
    </border>
    <border>
      <left/>
      <right style="thick">
        <color indexed="64"/>
      </right>
      <top/>
      <bottom style="medium">
        <color rgb="FF9EE0F7"/>
      </bottom>
      <diagonal/>
    </border>
    <border>
      <left/>
      <right style="medium">
        <color rgb="FF9EE0F7"/>
      </right>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medium">
        <color rgb="FF9EE0F7"/>
      </right>
      <top/>
      <bottom style="medium">
        <color rgb="FF9EE0F7"/>
      </bottom>
      <diagonal/>
    </border>
    <border>
      <left style="thin">
        <color indexed="64"/>
      </left>
      <right style="medium">
        <color rgb="FF9EE0F7"/>
      </right>
      <top/>
      <bottom style="thick">
        <color indexed="64"/>
      </bottom>
      <diagonal/>
    </border>
    <border>
      <left style="thin">
        <color indexed="64"/>
      </left>
      <right style="medium">
        <color rgb="FF9EE0F7"/>
      </right>
      <top/>
      <bottom style="thin">
        <color indexed="64"/>
      </bottom>
      <diagonal/>
    </border>
    <border>
      <left/>
      <right style="thick">
        <color indexed="64"/>
      </right>
      <top/>
      <bottom style="thin">
        <color indexed="64"/>
      </bottom>
      <diagonal/>
    </border>
    <border>
      <left/>
      <right style="medium">
        <color rgb="FF9EE0F7"/>
      </right>
      <top/>
      <bottom style="thin">
        <color indexed="64"/>
      </bottom>
      <diagonal/>
    </border>
    <border>
      <left/>
      <right style="thick">
        <color indexed="64"/>
      </right>
      <top style="medium">
        <color rgb="FFFFB279"/>
      </top>
      <bottom style="medium">
        <color rgb="FFFFB279"/>
      </bottom>
      <diagonal/>
    </border>
    <border>
      <left/>
      <right style="thick">
        <color indexed="64"/>
      </right>
      <top style="thick">
        <color indexed="64"/>
      </top>
      <bottom style="medium">
        <color rgb="FFFFB279"/>
      </bottom>
      <diagonal/>
    </border>
    <border>
      <left/>
      <right/>
      <top style="thick">
        <color indexed="64"/>
      </top>
      <bottom style="medium">
        <color rgb="FFFFB279"/>
      </bottom>
      <diagonal/>
    </border>
    <border>
      <left/>
      <right style="medium">
        <color rgb="FFFFB279"/>
      </right>
      <top/>
      <bottom style="thick">
        <color indexed="64"/>
      </bottom>
      <diagonal/>
    </border>
    <border>
      <left/>
      <right style="thick">
        <color indexed="64"/>
      </right>
      <top/>
      <bottom style="medium">
        <color rgb="FFFFB279"/>
      </bottom>
      <diagonal/>
    </border>
    <border>
      <left/>
      <right style="medium">
        <color rgb="FFFFB279"/>
      </right>
      <top/>
      <bottom style="medium">
        <color rgb="FFFFB279"/>
      </bottom>
      <diagonal/>
    </border>
    <border>
      <left style="thick">
        <color indexed="64"/>
      </left>
      <right/>
      <top style="thick">
        <color indexed="64"/>
      </top>
      <bottom style="medium">
        <color rgb="FFFFB279"/>
      </bottom>
      <diagonal/>
    </border>
    <border>
      <left/>
      <right style="thick">
        <color indexed="64"/>
      </right>
      <top style="medium">
        <color rgb="FFFFB279"/>
      </top>
      <bottom/>
      <diagonal/>
    </border>
    <border>
      <left/>
      <right/>
      <top style="thick">
        <color indexed="64"/>
      </top>
      <bottom/>
      <diagonal/>
    </border>
    <border>
      <left/>
      <right style="thick">
        <color indexed="64"/>
      </right>
      <top style="thick">
        <color indexed="64"/>
      </top>
      <bottom/>
      <diagonal/>
    </border>
    <border>
      <left/>
      <right/>
      <top/>
      <bottom style="medium">
        <color rgb="FFFFB279"/>
      </bottom>
      <diagonal/>
    </border>
    <border>
      <left style="thick">
        <color indexed="64"/>
      </left>
      <right/>
      <top style="thick">
        <color indexed="64"/>
      </top>
      <bottom/>
      <diagonal/>
    </border>
    <border>
      <left style="thick">
        <color indexed="64"/>
      </left>
      <right/>
      <top/>
      <bottom style="medium">
        <color rgb="FFFFB279"/>
      </bottom>
      <diagonal/>
    </border>
    <border>
      <left/>
      <right/>
      <top/>
      <bottom style="thick">
        <color indexed="64"/>
      </bottom>
      <diagonal/>
    </border>
    <border>
      <left style="medium">
        <color indexed="64"/>
      </left>
      <right style="medium">
        <color rgb="FFFFB279"/>
      </right>
      <top/>
      <bottom style="medium">
        <color indexed="64"/>
      </bottom>
      <diagonal/>
    </border>
    <border>
      <left/>
      <right style="medium">
        <color rgb="FFFFB279"/>
      </right>
      <top/>
      <bottom style="medium">
        <color indexed="64"/>
      </bottom>
      <diagonal/>
    </border>
    <border>
      <left style="medium">
        <color indexed="64"/>
      </left>
      <right/>
      <top/>
      <bottom style="medium">
        <color rgb="FFFFB279"/>
      </bottom>
      <diagonal/>
    </border>
    <border>
      <left/>
      <right style="medium">
        <color indexed="64"/>
      </right>
      <top/>
      <bottom style="medium">
        <color rgb="FFFFB279"/>
      </bottom>
      <diagonal/>
    </border>
    <border>
      <left/>
      <right style="medium">
        <color rgb="FFFFB279"/>
      </right>
      <top/>
      <bottom/>
      <diagonal/>
    </border>
    <border>
      <left/>
      <right style="thick">
        <color indexed="64"/>
      </right>
      <top/>
      <bottom/>
      <diagonal/>
    </border>
    <border>
      <left style="medium">
        <color indexed="64"/>
      </left>
      <right style="medium">
        <color rgb="FFFFB279"/>
      </right>
      <top style="medium">
        <color indexed="64"/>
      </top>
      <bottom style="medium">
        <color rgb="FFFFB279"/>
      </bottom>
      <diagonal/>
    </border>
    <border>
      <left/>
      <right style="medium">
        <color rgb="FFFFB279"/>
      </right>
      <top style="medium">
        <color indexed="64"/>
      </top>
      <bottom style="medium">
        <color rgb="FFFFB279"/>
      </bottom>
      <diagonal/>
    </border>
    <border>
      <left/>
      <right style="medium">
        <color indexed="64"/>
      </right>
      <top style="medium">
        <color indexed="64"/>
      </top>
      <bottom style="medium">
        <color rgb="FFFFB279"/>
      </bottom>
      <diagonal/>
    </border>
    <border>
      <left style="medium">
        <color indexed="64"/>
      </left>
      <right style="medium">
        <color rgb="FFFFB279"/>
      </right>
      <top/>
      <bottom style="medium">
        <color rgb="FFFFB279"/>
      </bottom>
      <diagonal/>
    </border>
    <border>
      <left style="medium">
        <color indexed="64"/>
      </left>
      <right style="medium">
        <color rgb="FFFFB279"/>
      </right>
      <top/>
      <bottom style="thick">
        <color indexed="64"/>
      </bottom>
      <diagonal/>
    </border>
    <border>
      <left/>
      <right style="medium">
        <color indexed="64"/>
      </right>
      <top/>
      <bottom style="thick">
        <color indexed="64"/>
      </bottom>
      <diagonal/>
    </border>
    <border>
      <left style="thin">
        <color indexed="64"/>
      </left>
      <right style="medium">
        <color rgb="FF9EE0F7"/>
      </right>
      <top style="thick">
        <color indexed="64"/>
      </top>
      <bottom style="medium">
        <color rgb="FF9EE0F7"/>
      </bottom>
      <diagonal/>
    </border>
    <border>
      <left/>
      <right style="thick">
        <color indexed="64"/>
      </right>
      <top style="thick">
        <color indexed="64"/>
      </top>
      <bottom style="medium">
        <color rgb="FF9EE0F7"/>
      </bottom>
      <diagonal/>
    </border>
    <border>
      <left/>
      <right style="medium">
        <color rgb="FF9EE0F7"/>
      </right>
      <top style="thick">
        <color indexed="64"/>
      </top>
      <bottom style="medium">
        <color rgb="FF9EE0F7"/>
      </bottom>
      <diagonal/>
    </border>
    <border>
      <left style="thin">
        <color indexed="64"/>
      </left>
      <right style="medium">
        <color rgb="FF9EE0F7"/>
      </right>
      <top style="medium">
        <color rgb="FF9EE0F7"/>
      </top>
      <bottom style="medium">
        <color indexed="64"/>
      </bottom>
      <diagonal/>
    </border>
    <border>
      <left/>
      <right style="thick">
        <color indexed="64"/>
      </right>
      <top style="medium">
        <color rgb="FF9EE0F7"/>
      </top>
      <bottom style="medium">
        <color indexed="64"/>
      </bottom>
      <diagonal/>
    </border>
    <border>
      <left/>
      <right style="medium">
        <color rgb="FF9EE0F7"/>
      </right>
      <top style="medium">
        <color rgb="FF9EE0F7"/>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right/>
      <top/>
      <bottom style="medium">
        <color rgb="FF9EE0F7"/>
      </bottom>
      <diagonal/>
    </border>
    <border>
      <left/>
      <right/>
      <top style="thick">
        <color indexed="64"/>
      </top>
      <bottom style="medium">
        <color rgb="FF9EE0F7"/>
      </bottom>
      <diagonal/>
    </border>
    <border>
      <left/>
      <right/>
      <top style="medium">
        <color rgb="FF9EE0F7"/>
      </top>
      <bottom style="medium">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medium">
        <color rgb="FF9EE0F7"/>
      </right>
      <top/>
      <bottom style="medium">
        <color rgb="FF9EE0F7"/>
      </bottom>
      <diagonal/>
    </border>
    <border>
      <left/>
      <right style="medium">
        <color indexed="64"/>
      </right>
      <top/>
      <bottom style="medium">
        <color rgb="FF9EE0F7"/>
      </bottom>
      <diagonal/>
    </border>
    <border>
      <left style="medium">
        <color indexed="64"/>
      </left>
      <right style="medium">
        <color rgb="FF9EE0F7"/>
      </right>
      <top/>
      <bottom style="medium">
        <color indexed="64"/>
      </bottom>
      <diagonal/>
    </border>
    <border>
      <left/>
      <right style="medium">
        <color rgb="FF9EE0F7"/>
      </right>
      <top/>
      <bottom style="medium">
        <color indexed="64"/>
      </bottom>
      <diagonal/>
    </border>
  </borders>
  <cellStyleXfs count="4">
    <xf numFmtId="0" fontId="0" fillId="0" borderId="0"/>
    <xf numFmtId="43" fontId="19" fillId="0" borderId="0" applyFont="0" applyFill="0" applyBorder="0" applyAlignment="0" applyProtection="0"/>
    <xf numFmtId="0" fontId="25" fillId="0" borderId="0" applyNumberFormat="0" applyFill="0" applyBorder="0" applyAlignment="0" applyProtection="0"/>
    <xf numFmtId="9" fontId="19" fillId="0" borderId="0" applyFont="0" applyFill="0" applyBorder="0" applyAlignment="0" applyProtection="0"/>
  </cellStyleXfs>
  <cellXfs count="236">
    <xf numFmtId="0" fontId="0" fillId="0" borderId="0" xfId="0"/>
    <xf numFmtId="0" fontId="1" fillId="0" borderId="7" xfId="0" applyFont="1" applyBorder="1"/>
    <xf numFmtId="0" fontId="6" fillId="5" borderId="15" xfId="0" applyFont="1" applyFill="1" applyBorder="1" applyAlignment="1">
      <alignment horizontal="center" vertical="center"/>
    </xf>
    <xf numFmtId="0" fontId="6" fillId="5" borderId="14" xfId="0" applyFont="1" applyFill="1" applyBorder="1" applyAlignment="1">
      <alignment horizontal="center" vertical="center"/>
    </xf>
    <xf numFmtId="0" fontId="6" fillId="0" borderId="15" xfId="0" applyFont="1" applyBorder="1" applyAlignment="1">
      <alignment horizontal="center" vertical="center"/>
    </xf>
    <xf numFmtId="0" fontId="6" fillId="0" borderId="14" xfId="0" applyFont="1" applyBorder="1" applyAlignment="1">
      <alignment horizontal="center" vertical="center"/>
    </xf>
    <xf numFmtId="0" fontId="6" fillId="5" borderId="13" xfId="0" applyFont="1" applyFill="1" applyBorder="1" applyAlignment="1">
      <alignment horizontal="center" vertical="center"/>
    </xf>
    <xf numFmtId="0" fontId="3" fillId="0" borderId="0" xfId="0" applyFont="1" applyAlignment="1">
      <alignment vertical="center"/>
    </xf>
    <xf numFmtId="0" fontId="6" fillId="2" borderId="16" xfId="0" applyFont="1" applyFill="1" applyBorder="1" applyAlignment="1">
      <alignment horizontal="center" vertical="center"/>
    </xf>
    <xf numFmtId="0" fontId="0" fillId="0" borderId="0" xfId="0" applyAlignment="1">
      <alignment horizontal="right"/>
    </xf>
    <xf numFmtId="0" fontId="5" fillId="4" borderId="17" xfId="0" applyFont="1" applyFill="1" applyBorder="1" applyAlignment="1">
      <alignment horizontal="center" vertical="center"/>
    </xf>
    <xf numFmtId="0" fontId="5" fillId="4" borderId="1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0" xfId="0" applyFont="1" applyFill="1" applyBorder="1" applyAlignment="1">
      <alignment horizontal="center" vertical="center"/>
    </xf>
    <xf numFmtId="0" fontId="6" fillId="5" borderId="21" xfId="0" applyFont="1" applyFill="1" applyBorder="1" applyAlignment="1">
      <alignment vertical="center"/>
    </xf>
    <xf numFmtId="0" fontId="6" fillId="0" borderId="21" xfId="0" applyFont="1" applyBorder="1" applyAlignment="1">
      <alignment vertical="center"/>
    </xf>
    <xf numFmtId="0" fontId="6" fillId="5" borderId="22" xfId="0" applyFont="1" applyFill="1" applyBorder="1" applyAlignment="1">
      <alignment vertical="center"/>
    </xf>
    <xf numFmtId="0" fontId="6" fillId="0" borderId="23" xfId="0" applyFont="1" applyBorder="1" applyAlignment="1">
      <alignment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1" fillId="6" borderId="6" xfId="0" applyFont="1" applyFill="1" applyBorder="1"/>
    <xf numFmtId="0" fontId="0" fillId="7" borderId="0" xfId="0" applyFill="1" applyAlignment="1">
      <alignment horizontal="right"/>
    </xf>
    <xf numFmtId="0" fontId="1" fillId="0" borderId="4" xfId="0" applyFont="1" applyBorder="1" applyAlignment="1">
      <alignment horizontal="left"/>
    </xf>
    <xf numFmtId="0" fontId="1" fillId="0" borderId="6" xfId="0" applyFont="1" applyBorder="1" applyAlignment="1">
      <alignment horizontal="left"/>
    </xf>
    <xf numFmtId="0" fontId="9" fillId="0" borderId="0" xfId="0" applyFont="1" applyAlignment="1">
      <alignment vertical="center"/>
    </xf>
    <xf numFmtId="0" fontId="0" fillId="4" borderId="26" xfId="0" applyFill="1" applyBorder="1" applyAlignment="1">
      <alignment vertical="top"/>
    </xf>
    <xf numFmtId="0" fontId="11" fillId="0" borderId="13" xfId="0" applyFont="1" applyBorder="1" applyAlignment="1">
      <alignment vertical="center"/>
    </xf>
    <xf numFmtId="0" fontId="10" fillId="0" borderId="29" xfId="0" applyFont="1" applyBorder="1" applyAlignment="1">
      <alignment vertical="center"/>
    </xf>
    <xf numFmtId="0" fontId="10" fillId="0" borderId="13" xfId="0" applyFont="1" applyBorder="1" applyAlignment="1">
      <alignment vertical="center"/>
    </xf>
    <xf numFmtId="0" fontId="10" fillId="8" borderId="30" xfId="0" applyFont="1" applyFill="1" applyBorder="1" applyAlignment="1">
      <alignment horizontal="right" vertical="center"/>
    </xf>
    <xf numFmtId="0" fontId="12" fillId="8" borderId="31" xfId="0" applyFont="1" applyFill="1" applyBorder="1" applyAlignment="1">
      <alignment horizontal="right" vertical="center"/>
    </xf>
    <xf numFmtId="0" fontId="12" fillId="8" borderId="30" xfId="0" applyFont="1" applyFill="1" applyBorder="1" applyAlignment="1">
      <alignment horizontal="right" vertical="center"/>
    </xf>
    <xf numFmtId="0" fontId="10" fillId="0" borderId="30" xfId="0" applyFont="1" applyBorder="1" applyAlignment="1">
      <alignment horizontal="right" vertical="center"/>
    </xf>
    <xf numFmtId="0" fontId="13" fillId="0" borderId="31" xfId="0" applyFont="1" applyBorder="1" applyAlignment="1">
      <alignment horizontal="right" vertical="center"/>
    </xf>
    <xf numFmtId="0" fontId="13" fillId="0" borderId="30" xfId="0" applyFont="1" applyBorder="1" applyAlignment="1">
      <alignment horizontal="right" vertical="center"/>
    </xf>
    <xf numFmtId="0" fontId="12" fillId="8" borderId="29" xfId="0" applyFont="1" applyFill="1" applyBorder="1" applyAlignment="1">
      <alignment horizontal="right" vertical="center"/>
    </xf>
    <xf numFmtId="0" fontId="11" fillId="0" borderId="30" xfId="0" applyFont="1" applyBorder="1" applyAlignment="1">
      <alignment vertical="center"/>
    </xf>
    <xf numFmtId="0" fontId="13" fillId="0" borderId="29" xfId="0" applyFont="1" applyBorder="1" applyAlignment="1">
      <alignment horizontal="right" vertical="center"/>
    </xf>
    <xf numFmtId="0" fontId="13" fillId="0" borderId="13" xfId="0" applyFont="1" applyBorder="1" applyAlignment="1">
      <alignment horizontal="right" vertical="center"/>
    </xf>
    <xf numFmtId="0" fontId="10" fillId="0" borderId="29" xfId="0" applyFont="1" applyBorder="1" applyAlignment="1">
      <alignment vertical="center" wrapText="1"/>
    </xf>
    <xf numFmtId="0" fontId="10" fillId="0" borderId="13" xfId="0" applyFont="1" applyBorder="1" applyAlignment="1">
      <alignment vertical="center" wrapText="1"/>
    </xf>
    <xf numFmtId="0" fontId="12" fillId="7" borderId="31" xfId="0" applyFont="1" applyFill="1" applyBorder="1" applyAlignment="1">
      <alignment horizontal="right" vertical="center"/>
    </xf>
    <xf numFmtId="0" fontId="14" fillId="0" borderId="0" xfId="0" applyFont="1" applyAlignment="1">
      <alignment vertical="center"/>
    </xf>
    <xf numFmtId="0" fontId="10" fillId="4" borderId="32" xfId="0" applyFont="1" applyFill="1" applyBorder="1" applyAlignment="1">
      <alignment vertical="center"/>
    </xf>
    <xf numFmtId="0" fontId="10" fillId="4" borderId="28" xfId="0" applyFont="1" applyFill="1" applyBorder="1" applyAlignment="1">
      <alignment vertical="center"/>
    </xf>
    <xf numFmtId="0" fontId="10" fillId="4" borderId="27" xfId="0" applyFont="1" applyFill="1" applyBorder="1" applyAlignment="1">
      <alignment vertical="center"/>
    </xf>
    <xf numFmtId="0" fontId="10" fillId="0" borderId="39" xfId="0" applyFont="1" applyBorder="1" applyAlignment="1">
      <alignment vertical="center" wrapText="1"/>
    </xf>
    <xf numFmtId="0" fontId="10" fillId="4" borderId="9" xfId="0" applyFont="1" applyFill="1" applyBorder="1" applyAlignment="1">
      <alignment vertical="center"/>
    </xf>
    <xf numFmtId="0" fontId="10" fillId="4" borderId="10" xfId="0" applyFont="1" applyFill="1" applyBorder="1" applyAlignment="1">
      <alignment vertical="center"/>
    </xf>
    <xf numFmtId="0" fontId="10" fillId="4" borderId="11" xfId="0" applyFont="1" applyFill="1" applyBorder="1" applyAlignment="1">
      <alignment vertical="center"/>
    </xf>
    <xf numFmtId="0" fontId="13" fillId="0" borderId="39" xfId="0" applyFont="1" applyBorder="1" applyAlignment="1">
      <alignment horizontal="right" vertical="center"/>
    </xf>
    <xf numFmtId="0" fontId="10" fillId="0" borderId="44" xfId="0" applyFont="1" applyBorder="1" applyAlignment="1">
      <alignment vertical="center" wrapText="1"/>
    </xf>
    <xf numFmtId="0" fontId="10" fillId="0" borderId="45" xfId="0" applyFont="1" applyBorder="1" applyAlignment="1">
      <alignment vertical="center" wrapText="1"/>
    </xf>
    <xf numFmtId="0" fontId="12" fillId="8" borderId="46" xfId="0" applyFont="1" applyFill="1" applyBorder="1" applyAlignment="1">
      <alignment horizontal="right" vertical="center"/>
    </xf>
    <xf numFmtId="0" fontId="12" fillId="8" borderId="47" xfId="0" applyFont="1" applyFill="1" applyBorder="1" applyAlignment="1">
      <alignment horizontal="right" vertical="center"/>
    </xf>
    <xf numFmtId="0" fontId="12" fillId="8" borderId="48" xfId="0" applyFont="1" applyFill="1" applyBorder="1" applyAlignment="1">
      <alignment horizontal="right" vertical="center"/>
    </xf>
    <xf numFmtId="0" fontId="13" fillId="0" borderId="49" xfId="0" applyFont="1" applyBorder="1" applyAlignment="1">
      <alignment horizontal="right" vertical="center"/>
    </xf>
    <xf numFmtId="0" fontId="13" fillId="0" borderId="43" xfId="0" applyFont="1" applyBorder="1" applyAlignment="1">
      <alignment horizontal="right" vertical="center"/>
    </xf>
    <xf numFmtId="0" fontId="12" fillId="8" borderId="49" xfId="0" applyFont="1" applyFill="1" applyBorder="1" applyAlignment="1">
      <alignment horizontal="right" vertical="center"/>
    </xf>
    <xf numFmtId="0" fontId="12" fillId="8" borderId="43" xfId="0" applyFont="1" applyFill="1" applyBorder="1" applyAlignment="1">
      <alignment horizontal="right" vertical="center"/>
    </xf>
    <xf numFmtId="0" fontId="12" fillId="8" borderId="50" xfId="0" applyFont="1" applyFill="1" applyBorder="1" applyAlignment="1">
      <alignment horizontal="right" vertical="center"/>
    </xf>
    <xf numFmtId="0" fontId="12" fillId="8" borderId="51" xfId="0" applyFont="1" applyFill="1" applyBorder="1" applyAlignment="1">
      <alignment horizontal="right" vertical="center"/>
    </xf>
    <xf numFmtId="0" fontId="13" fillId="0" borderId="40" xfId="0" applyFont="1" applyBorder="1" applyAlignment="1">
      <alignment horizontal="right" vertical="center"/>
    </xf>
    <xf numFmtId="0" fontId="13" fillId="0" borderId="41" xfId="0" applyFont="1" applyBorder="1" applyAlignment="1">
      <alignment horizontal="right" vertical="center"/>
    </xf>
    <xf numFmtId="0" fontId="13" fillId="0" borderId="12" xfId="0" applyFont="1" applyBorder="1" applyAlignment="1">
      <alignment horizontal="right" vertical="center"/>
    </xf>
    <xf numFmtId="0" fontId="10" fillId="0" borderId="13" xfId="0" applyFont="1" applyBorder="1" applyAlignment="1">
      <alignment horizontal="right" vertical="center"/>
    </xf>
    <xf numFmtId="0" fontId="11" fillId="8" borderId="30" xfId="0" applyFont="1" applyFill="1" applyBorder="1" applyAlignment="1">
      <alignment vertical="center"/>
    </xf>
    <xf numFmtId="0" fontId="12" fillId="3" borderId="46" xfId="0" applyFont="1" applyFill="1" applyBorder="1" applyAlignment="1">
      <alignment horizontal="right" vertical="center"/>
    </xf>
    <xf numFmtId="0" fontId="12" fillId="3" borderId="47" xfId="0" applyFont="1" applyFill="1" applyBorder="1" applyAlignment="1">
      <alignment horizontal="right" vertical="center"/>
    </xf>
    <xf numFmtId="0" fontId="12" fillId="3" borderId="48" xfId="0" applyFont="1" applyFill="1" applyBorder="1" applyAlignment="1">
      <alignment horizontal="right" vertical="center"/>
    </xf>
    <xf numFmtId="0" fontId="13" fillId="3" borderId="49" xfId="0" applyFont="1" applyFill="1" applyBorder="1" applyAlignment="1">
      <alignment horizontal="right" vertical="center"/>
    </xf>
    <xf numFmtId="0" fontId="13" fillId="3" borderId="31" xfId="0" applyFont="1" applyFill="1" applyBorder="1" applyAlignment="1">
      <alignment horizontal="right" vertical="center"/>
    </xf>
    <xf numFmtId="0" fontId="13" fillId="3" borderId="43" xfId="0" applyFont="1" applyFill="1" applyBorder="1" applyAlignment="1">
      <alignment horizontal="right" vertical="center"/>
    </xf>
    <xf numFmtId="0" fontId="12" fillId="3" borderId="49" xfId="0" applyFont="1" applyFill="1" applyBorder="1" applyAlignment="1">
      <alignment horizontal="right" vertical="center"/>
    </xf>
    <xf numFmtId="0" fontId="12" fillId="3" borderId="31" xfId="0" applyFont="1" applyFill="1" applyBorder="1" applyAlignment="1">
      <alignment horizontal="right" vertical="center"/>
    </xf>
    <xf numFmtId="0" fontId="12" fillId="3" borderId="43" xfId="0" applyFont="1" applyFill="1" applyBorder="1" applyAlignment="1">
      <alignment horizontal="right" vertical="center"/>
    </xf>
    <xf numFmtId="0" fontId="12" fillId="3" borderId="50" xfId="0" applyFont="1" applyFill="1" applyBorder="1" applyAlignment="1">
      <alignment horizontal="right" vertical="center"/>
    </xf>
    <xf numFmtId="0" fontId="12" fillId="3" borderId="29" xfId="0" applyFont="1" applyFill="1" applyBorder="1" applyAlignment="1">
      <alignment horizontal="right" vertical="center"/>
    </xf>
    <xf numFmtId="0" fontId="12" fillId="3" borderId="51" xfId="0" applyFont="1" applyFill="1" applyBorder="1" applyAlignment="1">
      <alignment horizontal="right" vertical="center"/>
    </xf>
    <xf numFmtId="0" fontId="13" fillId="3" borderId="40" xfId="0" applyFont="1" applyFill="1" applyBorder="1" applyAlignment="1">
      <alignment horizontal="right" vertical="center"/>
    </xf>
    <xf numFmtId="0" fontId="13" fillId="3" borderId="41" xfId="0" applyFont="1" applyFill="1" applyBorder="1" applyAlignment="1">
      <alignment horizontal="right" vertical="center"/>
    </xf>
    <xf numFmtId="0" fontId="13" fillId="3" borderId="12" xfId="0" applyFont="1" applyFill="1" applyBorder="1" applyAlignment="1">
      <alignment horizontal="right" vertical="center"/>
    </xf>
    <xf numFmtId="0" fontId="10" fillId="4" borderId="42" xfId="0" applyFont="1" applyFill="1" applyBorder="1" applyAlignment="1">
      <alignment vertical="center"/>
    </xf>
    <xf numFmtId="0" fontId="10" fillId="4" borderId="36" xfId="0" applyFont="1" applyFill="1" applyBorder="1" applyAlignment="1">
      <alignment vertical="center"/>
    </xf>
    <xf numFmtId="0" fontId="10" fillId="4" borderId="43" xfId="0" applyFont="1" applyFill="1" applyBorder="1" applyAlignment="1">
      <alignment vertical="center"/>
    </xf>
    <xf numFmtId="0" fontId="15" fillId="0" borderId="0" xfId="0" applyFont="1" applyAlignment="1">
      <alignment vertical="center"/>
    </xf>
    <xf numFmtId="0" fontId="18" fillId="0" borderId="0" xfId="0" applyFont="1" applyAlignment="1">
      <alignment vertical="center"/>
    </xf>
    <xf numFmtId="0" fontId="0" fillId="0" borderId="0" xfId="0" applyAlignment="1">
      <alignment horizontal="left" vertical="center"/>
    </xf>
    <xf numFmtId="0" fontId="0" fillId="0" borderId="0" xfId="0" applyAlignment="1">
      <alignment vertical="top"/>
    </xf>
    <xf numFmtId="0" fontId="6" fillId="0" borderId="0" xfId="0" applyFont="1" applyAlignment="1">
      <alignment horizontal="right" vertical="center"/>
    </xf>
    <xf numFmtId="0" fontId="7" fillId="0" borderId="0" xfId="0" applyFont="1" applyAlignment="1">
      <alignment vertical="center"/>
    </xf>
    <xf numFmtId="0" fontId="0" fillId="0" borderId="7" xfId="0" applyBorder="1"/>
    <xf numFmtId="0" fontId="0" fillId="5" borderId="14" xfId="0" applyFill="1" applyBorder="1" applyAlignment="1">
      <alignment horizontal="center" vertical="center"/>
    </xf>
    <xf numFmtId="0" fontId="0" fillId="0" borderId="14" xfId="0" applyBorder="1" applyAlignment="1">
      <alignment horizontal="center" vertical="center"/>
    </xf>
    <xf numFmtId="0" fontId="6" fillId="5" borderId="52" xfId="0" applyFont="1" applyFill="1" applyBorder="1" applyAlignment="1">
      <alignment vertical="center"/>
    </xf>
    <xf numFmtId="0" fontId="6" fillId="5" borderId="53" xfId="0" applyFont="1" applyFill="1" applyBorder="1" applyAlignment="1">
      <alignment horizontal="center" vertical="center"/>
    </xf>
    <xf numFmtId="0" fontId="6" fillId="5" borderId="54" xfId="0" applyFont="1" applyFill="1" applyBorder="1" applyAlignment="1">
      <alignment horizontal="center" vertical="center"/>
    </xf>
    <xf numFmtId="0" fontId="0" fillId="5" borderId="54" xfId="0" applyFill="1" applyBorder="1" applyAlignment="1">
      <alignment horizontal="center" vertical="center"/>
    </xf>
    <xf numFmtId="0" fontId="6" fillId="0" borderId="55" xfId="0" applyFont="1" applyBorder="1" applyAlignment="1">
      <alignment vertical="center"/>
    </xf>
    <xf numFmtId="0" fontId="6" fillId="0" borderId="56" xfId="0" applyFont="1" applyBorder="1" applyAlignment="1">
      <alignment horizontal="center" vertical="center"/>
    </xf>
    <xf numFmtId="0" fontId="6" fillId="0" borderId="57" xfId="0" applyFont="1" applyBorder="1" applyAlignment="1">
      <alignment horizontal="center" vertical="center"/>
    </xf>
    <xf numFmtId="0" fontId="0" fillId="0" borderId="57" xfId="0" applyBorder="1" applyAlignment="1">
      <alignment horizontal="center" vertical="center"/>
    </xf>
    <xf numFmtId="0" fontId="1" fillId="0" borderId="0" xfId="0" applyFont="1" applyAlignment="1">
      <alignment horizontal="left"/>
    </xf>
    <xf numFmtId="0" fontId="1" fillId="0" borderId="7" xfId="0" applyFont="1" applyBorder="1" applyAlignment="1">
      <alignment horizontal="left"/>
    </xf>
    <xf numFmtId="0" fontId="1" fillId="6" borderId="0" xfId="0" applyFont="1" applyFill="1"/>
    <xf numFmtId="0" fontId="0" fillId="0" borderId="0" xfId="0" applyAlignment="1">
      <alignment horizontal="center"/>
    </xf>
    <xf numFmtId="0" fontId="1" fillId="0" borderId="0" xfId="0" applyFont="1"/>
    <xf numFmtId="1" fontId="0" fillId="0" borderId="0" xfId="0" applyNumberFormat="1"/>
    <xf numFmtId="1" fontId="0" fillId="0" borderId="5" xfId="0" applyNumberFormat="1" applyBorder="1"/>
    <xf numFmtId="1" fontId="0" fillId="0" borderId="7" xfId="0" applyNumberFormat="1" applyBorder="1"/>
    <xf numFmtId="1" fontId="0" fillId="0" borderId="8" xfId="0" applyNumberFormat="1" applyBorder="1"/>
    <xf numFmtId="0" fontId="1" fillId="6" borderId="6" xfId="0" applyFont="1" applyFill="1" applyBorder="1" applyAlignment="1">
      <alignment horizontal="center"/>
    </xf>
    <xf numFmtId="0" fontId="1" fillId="6" borderId="7" xfId="0" applyFont="1" applyFill="1" applyBorder="1" applyAlignment="1">
      <alignment horizontal="center"/>
    </xf>
    <xf numFmtId="0" fontId="1" fillId="6" borderId="8" xfId="0" applyFont="1" applyFill="1" applyBorder="1" applyAlignment="1">
      <alignment horizontal="center"/>
    </xf>
    <xf numFmtId="164" fontId="0" fillId="6" borderId="4" xfId="0" applyNumberFormat="1" applyFill="1" applyBorder="1" applyAlignment="1">
      <alignment horizontal="center"/>
    </xf>
    <xf numFmtId="164" fontId="0" fillId="6" borderId="0" xfId="0" applyNumberFormat="1" applyFill="1" applyAlignment="1">
      <alignment horizontal="center"/>
    </xf>
    <xf numFmtId="164" fontId="0" fillId="6" borderId="5" xfId="0" applyNumberFormat="1" applyFill="1" applyBorder="1" applyAlignment="1">
      <alignment horizontal="center"/>
    </xf>
    <xf numFmtId="164" fontId="1" fillId="6" borderId="6" xfId="0" applyNumberFormat="1" applyFont="1" applyFill="1" applyBorder="1" applyAlignment="1">
      <alignment horizontal="center"/>
    </xf>
    <xf numFmtId="164" fontId="1" fillId="6" borderId="7" xfId="0" applyNumberFormat="1" applyFont="1" applyFill="1" applyBorder="1" applyAlignment="1">
      <alignment horizontal="center"/>
    </xf>
    <xf numFmtId="164" fontId="1" fillId="6" borderId="8" xfId="0" applyNumberFormat="1" applyFont="1" applyFill="1" applyBorder="1" applyAlignment="1">
      <alignment horizontal="center"/>
    </xf>
    <xf numFmtId="0" fontId="6" fillId="0" borderId="0" xfId="0" applyFont="1" applyAlignment="1">
      <alignment vertical="center"/>
    </xf>
    <xf numFmtId="0" fontId="6" fillId="0" borderId="0" xfId="0" applyFont="1" applyAlignment="1">
      <alignment horizontal="center" vertical="center"/>
    </xf>
    <xf numFmtId="0" fontId="0" fillId="0" borderId="9" xfId="0" applyBorder="1" applyAlignment="1">
      <alignment horizontal="right"/>
    </xf>
    <xf numFmtId="0" fontId="1" fillId="0" borderId="10" xfId="0" applyFont="1" applyBorder="1" applyAlignment="1">
      <alignment horizontal="left"/>
    </xf>
    <xf numFmtId="0" fontId="0" fillId="0" borderId="10" xfId="0" applyBorder="1"/>
    <xf numFmtId="0" fontId="0" fillId="0" borderId="11" xfId="0" applyBorder="1"/>
    <xf numFmtId="0" fontId="1" fillId="6" borderId="61" xfId="0" applyFont="1" applyFill="1" applyBorder="1" applyAlignment="1">
      <alignment horizontal="center"/>
    </xf>
    <xf numFmtId="0" fontId="0" fillId="0" borderId="62" xfId="0" applyBorder="1"/>
    <xf numFmtId="164" fontId="0" fillId="6" borderId="63" xfId="0" applyNumberFormat="1" applyFill="1" applyBorder="1" applyAlignment="1">
      <alignment horizontal="center"/>
    </xf>
    <xf numFmtId="164" fontId="1" fillId="6" borderId="64" xfId="0" applyNumberFormat="1" applyFont="1" applyFill="1" applyBorder="1" applyAlignment="1">
      <alignment horizontal="center"/>
    </xf>
    <xf numFmtId="0" fontId="0" fillId="0" borderId="65" xfId="0" applyBorder="1" applyAlignment="1">
      <alignment horizontal="right"/>
    </xf>
    <xf numFmtId="0" fontId="1" fillId="0" borderId="65" xfId="0" applyFont="1" applyBorder="1"/>
    <xf numFmtId="164" fontId="0" fillId="0" borderId="65" xfId="1" applyNumberFormat="1" applyFont="1" applyFill="1" applyBorder="1"/>
    <xf numFmtId="164" fontId="1" fillId="0" borderId="65" xfId="1" applyNumberFormat="1" applyFont="1" applyFill="1" applyBorder="1"/>
    <xf numFmtId="0" fontId="0" fillId="0" borderId="66" xfId="0" applyBorder="1" applyAlignment="1">
      <alignment horizontal="right"/>
    </xf>
    <xf numFmtId="0" fontId="0" fillId="0" borderId="67" xfId="0" applyBorder="1"/>
    <xf numFmtId="0" fontId="0" fillId="0" borderId="12" xfId="0" applyBorder="1"/>
    <xf numFmtId="0" fontId="1" fillId="6" borderId="68" xfId="0" applyFont="1" applyFill="1" applyBorder="1" applyAlignment="1">
      <alignment horizontal="center"/>
    </xf>
    <xf numFmtId="164" fontId="0" fillId="6" borderId="65" xfId="0" applyNumberFormat="1" applyFill="1" applyBorder="1" applyAlignment="1">
      <alignment horizontal="center"/>
    </xf>
    <xf numFmtId="164" fontId="1" fillId="6" borderId="69" xfId="0" applyNumberFormat="1" applyFont="1" applyFill="1" applyBorder="1" applyAlignment="1">
      <alignment horizontal="center"/>
    </xf>
    <xf numFmtId="1" fontId="12" fillId="7" borderId="31" xfId="0" applyNumberFormat="1" applyFont="1" applyFill="1" applyBorder="1" applyAlignment="1">
      <alignment horizontal="right" vertical="center"/>
    </xf>
    <xf numFmtId="0" fontId="20" fillId="0" borderId="0" xfId="0" applyFont="1"/>
    <xf numFmtId="0" fontId="21" fillId="6" borderId="1" xfId="0" applyFont="1" applyFill="1" applyBorder="1"/>
    <xf numFmtId="0" fontId="21" fillId="6" borderId="1" xfId="0" applyFont="1" applyFill="1" applyBorder="1" applyAlignment="1">
      <alignment horizontal="center"/>
    </xf>
    <xf numFmtId="0" fontId="21" fillId="6" borderId="2" xfId="0" applyFont="1" applyFill="1" applyBorder="1" applyAlignment="1">
      <alignment horizontal="center"/>
    </xf>
    <xf numFmtId="0" fontId="21" fillId="6" borderId="3" xfId="0" applyFont="1" applyFill="1" applyBorder="1" applyAlignment="1">
      <alignment horizontal="center"/>
    </xf>
    <xf numFmtId="0" fontId="22" fillId="6" borderId="2" xfId="0" applyFont="1" applyFill="1" applyBorder="1" applyAlignment="1">
      <alignment horizontal="center"/>
    </xf>
    <xf numFmtId="166" fontId="0" fillId="0" borderId="0" xfId="1" applyNumberFormat="1" applyFont="1"/>
    <xf numFmtId="166" fontId="0" fillId="0" borderId="70" xfId="1" applyNumberFormat="1" applyFont="1" applyBorder="1"/>
    <xf numFmtId="166" fontId="0" fillId="0" borderId="1" xfId="1" applyNumberFormat="1" applyFont="1" applyBorder="1"/>
    <xf numFmtId="166" fontId="0" fillId="0" borderId="2" xfId="1" applyNumberFormat="1" applyFont="1" applyBorder="1"/>
    <xf numFmtId="166" fontId="0" fillId="0" borderId="3" xfId="1" applyNumberFormat="1" applyFont="1" applyBorder="1"/>
    <xf numFmtId="166" fontId="0" fillId="0" borderId="4" xfId="1" applyNumberFormat="1" applyFont="1" applyBorder="1"/>
    <xf numFmtId="166" fontId="0" fillId="0" borderId="0" xfId="1" applyNumberFormat="1" applyFont="1" applyBorder="1"/>
    <xf numFmtId="166" fontId="0" fillId="0" borderId="5" xfId="1" applyNumberFormat="1" applyFont="1" applyBorder="1"/>
    <xf numFmtId="166" fontId="0" fillId="0" borderId="71" xfId="1" applyNumberFormat="1" applyFont="1" applyBorder="1"/>
    <xf numFmtId="166" fontId="0" fillId="0" borderId="72" xfId="1" applyNumberFormat="1" applyFont="1" applyBorder="1"/>
    <xf numFmtId="0" fontId="1" fillId="0" borderId="0" xfId="0" applyFont="1" applyAlignment="1">
      <alignment horizontal="center"/>
    </xf>
    <xf numFmtId="0" fontId="1" fillId="0" borderId="70" xfId="0" applyFont="1" applyBorder="1" applyAlignment="1">
      <alignment horizontal="center"/>
    </xf>
    <xf numFmtId="0" fontId="1" fillId="0" borderId="1" xfId="0" applyFon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0" fillId="0" borderId="6" xfId="0" applyBorder="1"/>
    <xf numFmtId="165" fontId="0" fillId="0" borderId="7" xfId="0" applyNumberFormat="1" applyBorder="1"/>
    <xf numFmtId="165" fontId="0" fillId="0" borderId="8" xfId="0" applyNumberFormat="1" applyBorder="1"/>
    <xf numFmtId="0" fontId="0" fillId="0" borderId="5" xfId="0" applyBorder="1"/>
    <xf numFmtId="0" fontId="0" fillId="7" borderId="2" xfId="0" applyFill="1" applyBorder="1"/>
    <xf numFmtId="0" fontId="1" fillId="0" borderId="72" xfId="0" applyFont="1" applyBorder="1"/>
    <xf numFmtId="166" fontId="1" fillId="0" borderId="5" xfId="1" applyNumberFormat="1" applyFont="1" applyBorder="1"/>
    <xf numFmtId="0" fontId="23" fillId="0" borderId="0" xfId="0" applyFont="1"/>
    <xf numFmtId="166" fontId="19" fillId="0" borderId="5" xfId="1" applyNumberFormat="1" applyFont="1" applyBorder="1"/>
    <xf numFmtId="166" fontId="19" fillId="0" borderId="0" xfId="1" applyNumberFormat="1" applyFont="1"/>
    <xf numFmtId="166" fontId="1" fillId="0" borderId="72" xfId="1" applyNumberFormat="1" applyFont="1" applyBorder="1"/>
    <xf numFmtId="166" fontId="0" fillId="0" borderId="0" xfId="0" applyNumberFormat="1"/>
    <xf numFmtId="0" fontId="1" fillId="7" borderId="0" xfId="0" applyFont="1" applyFill="1"/>
    <xf numFmtId="166" fontId="1" fillId="0" borderId="0" xfId="0" applyNumberFormat="1" applyFont="1"/>
    <xf numFmtId="0" fontId="1" fillId="0" borderId="6" xfId="0" applyFont="1" applyBorder="1"/>
    <xf numFmtId="0" fontId="1" fillId="7" borderId="5" xfId="0" applyFont="1" applyFill="1" applyBorder="1"/>
    <xf numFmtId="0" fontId="1" fillId="7" borderId="72" xfId="0" applyFont="1" applyFill="1" applyBorder="1"/>
    <xf numFmtId="166" fontId="1" fillId="0" borderId="70" xfId="0" applyNumberFormat="1" applyFont="1" applyBorder="1"/>
    <xf numFmtId="166" fontId="1" fillId="0" borderId="5" xfId="0" applyNumberFormat="1" applyFont="1" applyBorder="1"/>
    <xf numFmtId="166" fontId="1" fillId="0" borderId="72" xfId="0" applyNumberFormat="1" applyFont="1" applyBorder="1"/>
    <xf numFmtId="9" fontId="0" fillId="7" borderId="0" xfId="0" applyNumberFormat="1" applyFill="1"/>
    <xf numFmtId="166" fontId="0" fillId="0" borderId="70" xfId="0" applyNumberFormat="1" applyBorder="1"/>
    <xf numFmtId="0" fontId="1" fillId="0" borderId="72" xfId="0" applyFont="1" applyBorder="1" applyAlignment="1">
      <alignment horizontal="center"/>
    </xf>
    <xf numFmtId="0" fontId="27" fillId="0" borderId="0" xfId="0" applyFont="1" applyAlignment="1">
      <alignment horizontal="center" vertical="center"/>
    </xf>
    <xf numFmtId="0" fontId="27" fillId="0" borderId="0" xfId="0" applyFont="1" applyAlignment="1">
      <alignment vertical="center"/>
    </xf>
    <xf numFmtId="0" fontId="5" fillId="0" borderId="0" xfId="0" applyFont="1" applyAlignment="1">
      <alignment horizontal="right" vertical="center"/>
    </xf>
    <xf numFmtId="0" fontId="28" fillId="0" borderId="0" xfId="0" applyFont="1"/>
    <xf numFmtId="0" fontId="1" fillId="0" borderId="9" xfId="0" applyFont="1" applyBorder="1"/>
    <xf numFmtId="0" fontId="0" fillId="0" borderId="65" xfId="0" applyBorder="1"/>
    <xf numFmtId="0" fontId="0" fillId="0" borderId="66" xfId="0" applyBorder="1"/>
    <xf numFmtId="165" fontId="0" fillId="0" borderId="0" xfId="3" applyNumberFormat="1" applyFont="1" applyBorder="1"/>
    <xf numFmtId="0" fontId="21" fillId="6" borderId="68" xfId="0" applyFont="1" applyFill="1" applyBorder="1" applyAlignment="1">
      <alignment horizontal="center"/>
    </xf>
    <xf numFmtId="0" fontId="6" fillId="5" borderId="14" xfId="0" applyFont="1" applyFill="1" applyBorder="1" applyAlignment="1">
      <alignment horizontal="right" vertical="center"/>
    </xf>
    <xf numFmtId="0" fontId="6" fillId="0" borderId="14" xfId="0" applyFont="1" applyBorder="1" applyAlignment="1">
      <alignment horizontal="right" vertical="center"/>
    </xf>
    <xf numFmtId="0" fontId="6" fillId="5" borderId="75" xfId="0" applyFont="1" applyFill="1" applyBorder="1" applyAlignment="1">
      <alignment horizontal="center" vertical="center"/>
    </xf>
    <xf numFmtId="0" fontId="6" fillId="0" borderId="74" xfId="0" applyFont="1" applyBorder="1" applyAlignment="1">
      <alignment horizontal="center" vertical="center"/>
    </xf>
    <xf numFmtId="0" fontId="0" fillId="5" borderId="74" xfId="0" applyFill="1" applyBorder="1" applyAlignment="1">
      <alignment horizontal="center" vertical="center"/>
    </xf>
    <xf numFmtId="0" fontId="0" fillId="0" borderId="74" xfId="0" applyBorder="1" applyAlignment="1">
      <alignment horizontal="center" vertical="center"/>
    </xf>
    <xf numFmtId="0" fontId="0" fillId="0" borderId="76" xfId="0" applyBorder="1" applyAlignment="1">
      <alignment horizontal="center" vertical="center"/>
    </xf>
    <xf numFmtId="0" fontId="5" fillId="4" borderId="77" xfId="0" applyFont="1" applyFill="1" applyBorder="1" applyAlignment="1">
      <alignment horizontal="center" vertical="center"/>
    </xf>
    <xf numFmtId="0" fontId="5" fillId="4" borderId="78" xfId="0" applyFont="1" applyFill="1" applyBorder="1" applyAlignment="1">
      <alignment horizontal="center" vertical="center"/>
    </xf>
    <xf numFmtId="0" fontId="5" fillId="4" borderId="79" xfId="0" applyFont="1" applyFill="1" applyBorder="1" applyAlignment="1">
      <alignment horizontal="center" vertical="center"/>
    </xf>
    <xf numFmtId="0" fontId="6" fillId="5" borderId="80" xfId="0" applyFont="1" applyFill="1" applyBorder="1" applyAlignment="1">
      <alignment horizontal="right" vertical="center"/>
    </xf>
    <xf numFmtId="0" fontId="6" fillId="5" borderId="81" xfId="0" applyFont="1" applyFill="1" applyBorder="1" applyAlignment="1">
      <alignment horizontal="right" vertical="center"/>
    </xf>
    <xf numFmtId="0" fontId="6" fillId="0" borderId="80" xfId="0" applyFont="1" applyBorder="1" applyAlignment="1">
      <alignment horizontal="right" vertical="center"/>
    </xf>
    <xf numFmtId="0" fontId="6" fillId="0" borderId="81" xfId="0" applyFont="1" applyBorder="1" applyAlignment="1">
      <alignment horizontal="right" vertical="center"/>
    </xf>
    <xf numFmtId="0" fontId="6" fillId="0" borderId="82" xfId="0" applyFont="1" applyBorder="1" applyAlignment="1">
      <alignment horizontal="right" vertical="center"/>
    </xf>
    <xf numFmtId="0" fontId="6" fillId="0" borderId="83" xfId="0" applyFont="1" applyBorder="1" applyAlignment="1">
      <alignment horizontal="right" vertical="center"/>
    </xf>
    <xf numFmtId="0" fontId="6" fillId="0" borderId="12" xfId="0" applyFont="1" applyBorder="1" applyAlignment="1">
      <alignment horizontal="right" vertical="center"/>
    </xf>
    <xf numFmtId="0" fontId="0" fillId="7" borderId="62" xfId="0" applyFill="1" applyBorder="1"/>
    <xf numFmtId="0" fontId="0" fillId="7" borderId="12" xfId="0" applyFill="1" applyBorder="1"/>
    <xf numFmtId="0" fontId="27" fillId="0" borderId="0" xfId="0" applyFont="1"/>
    <xf numFmtId="9" fontId="27" fillId="0" borderId="0" xfId="3" applyFont="1"/>
    <xf numFmtId="0" fontId="1" fillId="6" borderId="58" xfId="0" applyFont="1" applyFill="1" applyBorder="1" applyAlignment="1">
      <alignment horizontal="center"/>
    </xf>
    <xf numFmtId="0" fontId="1" fillId="6" borderId="59" xfId="0" applyFont="1" applyFill="1" applyBorder="1" applyAlignment="1">
      <alignment horizontal="center"/>
    </xf>
    <xf numFmtId="0" fontId="1" fillId="6" borderId="60" xfId="0" applyFont="1" applyFill="1" applyBorder="1" applyAlignment="1">
      <alignment horizontal="center"/>
    </xf>
    <xf numFmtId="0" fontId="26" fillId="0" borderId="73" xfId="2" applyFont="1" applyBorder="1" applyAlignment="1">
      <alignment horizontal="center" vertical="center"/>
    </xf>
    <xf numFmtId="0" fontId="26" fillId="0" borderId="73" xfId="2" applyFont="1" applyBorder="1" applyAlignment="1">
      <alignment horizontal="center"/>
    </xf>
    <xf numFmtId="0" fontId="0" fillId="7" borderId="67" xfId="0" applyFill="1" applyBorder="1" applyAlignment="1">
      <alignment horizontal="center"/>
    </xf>
    <xf numFmtId="0" fontId="10" fillId="4" borderId="32"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27" xfId="0" applyFont="1" applyFill="1" applyBorder="1" applyAlignment="1">
      <alignment horizontal="center" vertical="center"/>
    </xf>
    <xf numFmtId="0" fontId="0" fillId="4" borderId="33" xfId="0" applyFill="1" applyBorder="1" applyAlignment="1">
      <alignment vertical="top"/>
    </xf>
    <xf numFmtId="0" fontId="0" fillId="4" borderId="30" xfId="0" applyFill="1" applyBorder="1" applyAlignment="1">
      <alignment vertical="top"/>
    </xf>
    <xf numFmtId="0" fontId="10" fillId="4" borderId="37" xfId="0" applyFont="1" applyFill="1" applyBorder="1" applyAlignment="1">
      <alignment horizontal="center" vertical="center"/>
    </xf>
    <xf numFmtId="0" fontId="10" fillId="4" borderId="34" xfId="0" applyFont="1" applyFill="1" applyBorder="1" applyAlignment="1">
      <alignment horizontal="center" vertical="center"/>
    </xf>
    <xf numFmtId="0" fontId="10" fillId="4" borderId="35" xfId="0" applyFont="1" applyFill="1" applyBorder="1" applyAlignment="1">
      <alignment horizontal="center" vertical="center"/>
    </xf>
    <xf numFmtId="0" fontId="10" fillId="4" borderId="38" xfId="0" applyFont="1" applyFill="1" applyBorder="1" applyAlignment="1">
      <alignment horizontal="center" vertical="center"/>
    </xf>
    <xf numFmtId="0" fontId="10" fillId="4" borderId="36" xfId="0" applyFont="1" applyFill="1" applyBorder="1" applyAlignment="1">
      <alignment horizontal="center" vertical="center"/>
    </xf>
    <xf numFmtId="0" fontId="10" fillId="4" borderId="30" xfId="0" applyFont="1" applyFill="1" applyBorder="1" applyAlignment="1">
      <alignment horizontal="center" vertical="center"/>
    </xf>
    <xf numFmtId="0" fontId="1" fillId="0" borderId="0" xfId="0" applyFont="1" applyAlignment="1">
      <alignment horizontal="center"/>
    </xf>
    <xf numFmtId="0" fontId="1" fillId="0" borderId="5" xfId="0" applyFont="1" applyBorder="1" applyAlignment="1">
      <alignment horizontal="center"/>
    </xf>
  </cellXfs>
  <cellStyles count="4">
    <cellStyle name="Comma" xfId="1" builtinId="3"/>
    <cellStyle name="Hyperlink" xfId="2" builtinId="8"/>
    <cellStyle name="Normal" xfId="0" builtinId="0"/>
    <cellStyle name="Percent" xfId="3" builtinId="5"/>
  </cellStyles>
  <dxfs count="3">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9999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Sheet'!$C$70</c:f>
          <c:strCache>
            <c:ptCount val="1"/>
            <c:pt idx="0">
              <c:v>Materials in Buildings in Stock: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Sheet'!$D$72</c:f>
              <c:strCache>
                <c:ptCount val="1"/>
                <c:pt idx="0">
                  <c:v>Brick</c:v>
                </c:pt>
              </c:strCache>
            </c:strRef>
          </c:tx>
          <c:spPr>
            <a:solidFill>
              <a:schemeClr val="accent5">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Sheet'!$E$72:$M$72</c:f>
              <c:numCache>
                <c:formatCode>0</c:formatCode>
                <c:ptCount val="9"/>
                <c:pt idx="0">
                  <c:v>2</c:v>
                </c:pt>
                <c:pt idx="1">
                  <c:v>2</c:v>
                </c:pt>
                <c:pt idx="2">
                  <c:v>2</c:v>
                </c:pt>
                <c:pt idx="3">
                  <c:v>2</c:v>
                </c:pt>
                <c:pt idx="4">
                  <c:v>2</c:v>
                </c:pt>
                <c:pt idx="5">
                  <c:v>2</c:v>
                </c:pt>
                <c:pt idx="6">
                  <c:v>0</c:v>
                </c:pt>
                <c:pt idx="7">
                  <c:v>0</c:v>
                </c:pt>
                <c:pt idx="8">
                  <c:v>0</c:v>
                </c:pt>
              </c:numCache>
            </c:numRef>
          </c:val>
          <c:extLst>
            <c:ext xmlns:c16="http://schemas.microsoft.com/office/drawing/2014/chart" uri="{C3380CC4-5D6E-409C-BE32-E72D297353CC}">
              <c16:uniqueId val="{00000000-D471-4448-9AF2-5253DA4BA818}"/>
            </c:ext>
          </c:extLst>
        </c:ser>
        <c:ser>
          <c:idx val="1"/>
          <c:order val="1"/>
          <c:tx>
            <c:strRef>
              <c:f>'Home Tracker Input Sheet'!$D$73</c:f>
              <c:strCache>
                <c:ptCount val="1"/>
                <c:pt idx="0">
                  <c:v>Wood</c:v>
                </c:pt>
              </c:strCache>
            </c:strRef>
          </c:tx>
          <c:spPr>
            <a:solidFill>
              <a:srgbClr val="FFFF99"/>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Sheet'!$E$73:$M$73</c:f>
              <c:numCache>
                <c:formatCode>0</c:formatCode>
                <c:ptCount val="9"/>
                <c:pt idx="0">
                  <c:v>2.5</c:v>
                </c:pt>
                <c:pt idx="1">
                  <c:v>2.5</c:v>
                </c:pt>
                <c:pt idx="2">
                  <c:v>2.5</c:v>
                </c:pt>
                <c:pt idx="3">
                  <c:v>2.5</c:v>
                </c:pt>
                <c:pt idx="4">
                  <c:v>2.5</c:v>
                </c:pt>
                <c:pt idx="5">
                  <c:v>2.5</c:v>
                </c:pt>
                <c:pt idx="6">
                  <c:v>0</c:v>
                </c:pt>
                <c:pt idx="7">
                  <c:v>0</c:v>
                </c:pt>
                <c:pt idx="8">
                  <c:v>0</c:v>
                </c:pt>
              </c:numCache>
            </c:numRef>
          </c:val>
          <c:extLst>
            <c:ext xmlns:c16="http://schemas.microsoft.com/office/drawing/2014/chart" uri="{C3380CC4-5D6E-409C-BE32-E72D297353CC}">
              <c16:uniqueId val="{00000001-D471-4448-9AF2-5253DA4BA818}"/>
            </c:ext>
          </c:extLst>
        </c:ser>
        <c:ser>
          <c:idx val="2"/>
          <c:order val="2"/>
          <c:tx>
            <c:strRef>
              <c:f>'Home Tracker Input Sheet'!$D$74</c:f>
              <c:strCache>
                <c:ptCount val="1"/>
                <c:pt idx="0">
                  <c:v>Metal</c:v>
                </c:pt>
              </c:strCache>
            </c:strRef>
          </c:tx>
          <c:spPr>
            <a:solidFill>
              <a:schemeClr val="accent6">
                <a:lumMod val="40000"/>
                <a:lumOff val="6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Sheet'!$E$74:$M$74</c:f>
              <c:numCache>
                <c:formatCode>0</c:formatCode>
                <c:ptCount val="9"/>
                <c:pt idx="0">
                  <c:v>1</c:v>
                </c:pt>
                <c:pt idx="1">
                  <c:v>1</c:v>
                </c:pt>
                <c:pt idx="2">
                  <c:v>1</c:v>
                </c:pt>
                <c:pt idx="3">
                  <c:v>1</c:v>
                </c:pt>
                <c:pt idx="4">
                  <c:v>1</c:v>
                </c:pt>
                <c:pt idx="5">
                  <c:v>1</c:v>
                </c:pt>
                <c:pt idx="6">
                  <c:v>0</c:v>
                </c:pt>
                <c:pt idx="7">
                  <c:v>0</c:v>
                </c:pt>
                <c:pt idx="8">
                  <c:v>0</c:v>
                </c:pt>
              </c:numCache>
            </c:numRef>
          </c:val>
          <c:extLst>
            <c:ext xmlns:c16="http://schemas.microsoft.com/office/drawing/2014/chart" uri="{C3380CC4-5D6E-409C-BE32-E72D297353CC}">
              <c16:uniqueId val="{00000002-D471-4448-9AF2-5253DA4BA818}"/>
            </c:ext>
          </c:extLst>
        </c:ser>
        <c:ser>
          <c:idx val="3"/>
          <c:order val="3"/>
          <c:tx>
            <c:strRef>
              <c:f>'Home Tracker Input Sheet'!$D$75</c:f>
              <c:strCache>
                <c:ptCount val="1"/>
                <c:pt idx="0">
                  <c:v>Glass</c:v>
                </c:pt>
              </c:strCache>
            </c:strRef>
          </c:tx>
          <c:spPr>
            <a:solidFill>
              <a:schemeClr val="accent3">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Sheet'!$E$75:$M$75</c:f>
              <c:numCache>
                <c:formatCode>0</c:formatCode>
                <c:ptCount val="9"/>
                <c:pt idx="0">
                  <c:v>1</c:v>
                </c:pt>
                <c:pt idx="1">
                  <c:v>1</c:v>
                </c:pt>
                <c:pt idx="2">
                  <c:v>1</c:v>
                </c:pt>
                <c:pt idx="3">
                  <c:v>1</c:v>
                </c:pt>
                <c:pt idx="4">
                  <c:v>1</c:v>
                </c:pt>
                <c:pt idx="5">
                  <c:v>1</c:v>
                </c:pt>
                <c:pt idx="6">
                  <c:v>0</c:v>
                </c:pt>
                <c:pt idx="7">
                  <c:v>0</c:v>
                </c:pt>
                <c:pt idx="8">
                  <c:v>0</c:v>
                </c:pt>
              </c:numCache>
            </c:numRef>
          </c:val>
          <c:extLst>
            <c:ext xmlns:c16="http://schemas.microsoft.com/office/drawing/2014/chart" uri="{C3380CC4-5D6E-409C-BE32-E72D297353CC}">
              <c16:uniqueId val="{00000003-D471-4448-9AF2-5253DA4BA818}"/>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Sheet'!$C$78</c:f>
          <c:strCache>
            <c:ptCount val="1"/>
            <c:pt idx="0">
              <c:v>Materials in Buildings in Stock: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Sheet'!$D$80</c:f>
              <c:strCache>
                <c:ptCount val="1"/>
                <c:pt idx="0">
                  <c:v>Brick</c:v>
                </c:pt>
              </c:strCache>
            </c:strRef>
          </c:tx>
          <c:spPr>
            <a:solidFill>
              <a:schemeClr val="accent5">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Sheet'!$E$80:$M$80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9A5B-4222-B5A8-0C61C3071705}"/>
            </c:ext>
          </c:extLst>
        </c:ser>
        <c:ser>
          <c:idx val="1"/>
          <c:order val="1"/>
          <c:tx>
            <c:strRef>
              <c:f>'Home Tracker Input Sheet'!$D$81</c:f>
              <c:strCache>
                <c:ptCount val="1"/>
                <c:pt idx="0">
                  <c:v>Wood</c:v>
                </c:pt>
              </c:strCache>
            </c:strRef>
          </c:tx>
          <c:spPr>
            <a:solidFill>
              <a:srgbClr val="FFFF99"/>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Sheet'!$E$81:$M$81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9A5B-4222-B5A8-0C61C3071705}"/>
            </c:ext>
          </c:extLst>
        </c:ser>
        <c:ser>
          <c:idx val="2"/>
          <c:order val="2"/>
          <c:tx>
            <c:strRef>
              <c:f>'Home Tracker Input Sheet'!$D$82</c:f>
              <c:strCache>
                <c:ptCount val="1"/>
                <c:pt idx="0">
                  <c:v>Metal</c:v>
                </c:pt>
              </c:strCache>
            </c:strRef>
          </c:tx>
          <c:spPr>
            <a:solidFill>
              <a:schemeClr val="accent6">
                <a:lumMod val="40000"/>
                <a:lumOff val="6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Sheet'!$E$82:$M$82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9A5B-4222-B5A8-0C61C3071705}"/>
            </c:ext>
          </c:extLst>
        </c:ser>
        <c:ser>
          <c:idx val="3"/>
          <c:order val="3"/>
          <c:tx>
            <c:strRef>
              <c:f>'Home Tracker Input Sheet'!$D$83</c:f>
              <c:strCache>
                <c:ptCount val="1"/>
                <c:pt idx="0">
                  <c:v>Glass</c:v>
                </c:pt>
              </c:strCache>
            </c:strRef>
          </c:tx>
          <c:spPr>
            <a:solidFill>
              <a:schemeClr val="accent3">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Sheet'!$E$83:$M$83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9A5B-4222-B5A8-0C61C3071705}"/>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of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Sheet'!$D$18</c:f>
              <c:strCache>
                <c:ptCount val="1"/>
                <c:pt idx="0">
                  <c:v>SF</c:v>
                </c:pt>
              </c:strCache>
            </c:strRef>
          </c:tx>
          <c:spPr>
            <a:solidFill>
              <a:schemeClr val="accent1"/>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Sheet'!$E$18:$M$18</c:f>
              <c:numCache>
                <c:formatCode>General</c:formatCode>
                <c:ptCount val="9"/>
                <c:pt idx="0">
                  <c:v>1</c:v>
                </c:pt>
                <c:pt idx="1">
                  <c:v>1</c:v>
                </c:pt>
                <c:pt idx="2">
                  <c:v>1</c:v>
                </c:pt>
                <c:pt idx="3">
                  <c:v>1</c:v>
                </c:pt>
                <c:pt idx="4">
                  <c:v>1</c:v>
                </c:pt>
                <c:pt idx="5">
                  <c:v>1</c:v>
                </c:pt>
                <c:pt idx="6">
                  <c:v>0</c:v>
                </c:pt>
                <c:pt idx="7">
                  <c:v>0</c:v>
                </c:pt>
                <c:pt idx="8">
                  <c:v>0</c:v>
                </c:pt>
              </c:numCache>
            </c:numRef>
          </c:val>
          <c:extLst>
            <c:ext xmlns:c16="http://schemas.microsoft.com/office/drawing/2014/chart" uri="{C3380CC4-5D6E-409C-BE32-E72D297353CC}">
              <c16:uniqueId val="{00000000-C5CA-4855-B8C9-2464B84979F5}"/>
            </c:ext>
          </c:extLst>
        </c:ser>
        <c:ser>
          <c:idx val="1"/>
          <c:order val="1"/>
          <c:tx>
            <c:strRef>
              <c:f>'Home Tracker Input Sheet'!$D$22</c:f>
              <c:strCache>
                <c:ptCount val="1"/>
                <c:pt idx="0">
                  <c:v>MF</c:v>
                </c:pt>
              </c:strCache>
            </c:strRef>
          </c:tx>
          <c:spPr>
            <a:solidFill>
              <a:schemeClr val="accent2"/>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Sheet'!$E$22:$M$22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C5CA-4855-B8C9-2464B84979F5}"/>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Sheet'!$W$111</c:f>
          <c:strCache>
            <c:ptCount val="1"/>
            <c:pt idx="0">
              <c:v>Materials from Demolished Buildings for Reuse/Recycling: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Sheet'!$X$113</c:f>
              <c:strCache>
                <c:ptCount val="1"/>
                <c:pt idx="0">
                  <c:v>Brick</c:v>
                </c:pt>
              </c:strCache>
            </c:strRef>
          </c:tx>
          <c:spPr>
            <a:solidFill>
              <a:schemeClr val="accent6">
                <a:lumMod val="40000"/>
                <a:lumOff val="60000"/>
              </a:schemeClr>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Sheet'!$Y$113:$AG$113</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0-8453-4AA5-9A9A-37896A5E8E71}"/>
            </c:ext>
          </c:extLst>
        </c:ser>
        <c:ser>
          <c:idx val="1"/>
          <c:order val="1"/>
          <c:tx>
            <c:strRef>
              <c:f>'Home Tracker Input Sheet'!$X$114</c:f>
              <c:strCache>
                <c:ptCount val="1"/>
                <c:pt idx="0">
                  <c:v>Wood</c:v>
                </c:pt>
              </c:strCache>
            </c:strRef>
          </c:tx>
          <c:spPr>
            <a:solidFill>
              <a:srgbClr val="FFFF99"/>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Sheet'!$Y$114:$AG$114</c:f>
              <c:numCache>
                <c:formatCode>0</c:formatCode>
                <c:ptCount val="9"/>
                <c:pt idx="0">
                  <c:v>0</c:v>
                </c:pt>
                <c:pt idx="1">
                  <c:v>0</c:v>
                </c:pt>
                <c:pt idx="2">
                  <c:v>0</c:v>
                </c:pt>
                <c:pt idx="3">
                  <c:v>0</c:v>
                </c:pt>
                <c:pt idx="4">
                  <c:v>0</c:v>
                </c:pt>
                <c:pt idx="5">
                  <c:v>0</c:v>
                </c:pt>
                <c:pt idx="6">
                  <c:v>2</c:v>
                </c:pt>
                <c:pt idx="7">
                  <c:v>0</c:v>
                </c:pt>
                <c:pt idx="8">
                  <c:v>0</c:v>
                </c:pt>
              </c:numCache>
            </c:numRef>
          </c:val>
          <c:extLst>
            <c:ext xmlns:c16="http://schemas.microsoft.com/office/drawing/2014/chart" uri="{C3380CC4-5D6E-409C-BE32-E72D297353CC}">
              <c16:uniqueId val="{00000001-8453-4AA5-9A9A-37896A5E8E71}"/>
            </c:ext>
          </c:extLst>
        </c:ser>
        <c:ser>
          <c:idx val="2"/>
          <c:order val="2"/>
          <c:tx>
            <c:strRef>
              <c:f>'Home Tracker Input Sheet'!$X$115</c:f>
              <c:strCache>
                <c:ptCount val="1"/>
                <c:pt idx="0">
                  <c:v>Metal</c:v>
                </c:pt>
              </c:strCache>
            </c:strRef>
          </c:tx>
          <c:spPr>
            <a:solidFill>
              <a:srgbClr val="9999FF"/>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Sheet'!$Y$115:$AG$115</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2-8453-4AA5-9A9A-37896A5E8E71}"/>
            </c:ext>
          </c:extLst>
        </c:ser>
        <c:ser>
          <c:idx val="3"/>
          <c:order val="3"/>
          <c:tx>
            <c:strRef>
              <c:f>'Home Tracker Input Sheet'!$X$116</c:f>
              <c:strCache>
                <c:ptCount val="1"/>
                <c:pt idx="0">
                  <c:v>Glass</c:v>
                </c:pt>
              </c:strCache>
            </c:strRef>
          </c:tx>
          <c:spPr>
            <a:solidFill>
              <a:schemeClr val="accent5">
                <a:lumMod val="40000"/>
                <a:lumOff val="60000"/>
              </a:schemeClr>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Sheet'!$Y$116:$AG$116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453-4AA5-9A9A-37896A5E8E71}"/>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Sheet'!$W$119</c:f>
          <c:strCache>
            <c:ptCount val="1"/>
            <c:pt idx="0">
              <c:v>Materials from Demolished Buildings for Reuse/Recycling: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Sheet'!$X$121</c:f>
              <c:strCache>
                <c:ptCount val="1"/>
                <c:pt idx="0">
                  <c:v>Brick</c:v>
                </c:pt>
              </c:strCache>
            </c:strRef>
          </c:tx>
          <c:spPr>
            <a:solidFill>
              <a:schemeClr val="accent6">
                <a:lumMod val="40000"/>
                <a:lumOff val="6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Sheet'!$Y$121:$AG$121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E8B-462D-8BEA-67CA138C4BF7}"/>
            </c:ext>
          </c:extLst>
        </c:ser>
        <c:ser>
          <c:idx val="2"/>
          <c:order val="1"/>
          <c:tx>
            <c:strRef>
              <c:f>'Home Tracker Input Sheet'!$X$122</c:f>
              <c:strCache>
                <c:ptCount val="1"/>
                <c:pt idx="0">
                  <c:v>Wood</c:v>
                </c:pt>
              </c:strCache>
            </c:strRef>
          </c:tx>
          <c:spPr>
            <a:solidFill>
              <a:srgbClr val="FFFF99"/>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Sheet'!$Y$122:$AG$122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E8B-462D-8BEA-67CA138C4BF7}"/>
            </c:ext>
          </c:extLst>
        </c:ser>
        <c:ser>
          <c:idx val="3"/>
          <c:order val="2"/>
          <c:tx>
            <c:strRef>
              <c:f>'Home Tracker Input Sheet'!$X$123</c:f>
              <c:strCache>
                <c:ptCount val="1"/>
                <c:pt idx="0">
                  <c:v>Metal</c:v>
                </c:pt>
              </c:strCache>
            </c:strRef>
          </c:tx>
          <c:spPr>
            <a:solidFill>
              <a:srgbClr val="9999FF"/>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Sheet'!$Y$123:$AG$123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E8B-462D-8BEA-67CA138C4BF7}"/>
            </c:ext>
          </c:extLst>
        </c:ser>
        <c:ser>
          <c:idx val="4"/>
          <c:order val="3"/>
          <c:tx>
            <c:strRef>
              <c:f>'Home Tracker Input Sheet'!$X$124</c:f>
              <c:strCache>
                <c:ptCount val="1"/>
                <c:pt idx="0">
                  <c:v>Glass</c:v>
                </c:pt>
              </c:strCache>
            </c:strRef>
          </c:tx>
          <c:spPr>
            <a:solidFill>
              <a:schemeClr val="accent5">
                <a:lumMod val="60000"/>
                <a:lumOff val="4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Sheet'!$Y$124:$AG$124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FE8B-462D-8BEA-67CA138C4BF7}"/>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Demolished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Sheet'!$D$18</c:f>
              <c:strCache>
                <c:ptCount val="1"/>
                <c:pt idx="0">
                  <c:v>SF</c:v>
                </c:pt>
              </c:strCache>
            </c:strRef>
          </c:tx>
          <c:spPr>
            <a:solidFill>
              <a:schemeClr val="accent1"/>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Sheet'!$E$17:$R$17</c:f>
              <c:numCache>
                <c:formatCode>General</c:formatCode>
                <c:ptCount val="14"/>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0-34D4-4E4C-B712-1E206DAB66A1}"/>
            </c:ext>
          </c:extLst>
        </c:ser>
        <c:ser>
          <c:idx val="1"/>
          <c:order val="1"/>
          <c:tx>
            <c:strRef>
              <c:f>'Home Tracker Input Sheet'!$D$22</c:f>
              <c:strCache>
                <c:ptCount val="1"/>
                <c:pt idx="0">
                  <c:v>MF</c:v>
                </c:pt>
              </c:strCache>
            </c:strRef>
          </c:tx>
          <c:spPr>
            <a:solidFill>
              <a:schemeClr val="accent2"/>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Sheet'!$E$21:$R$21</c:f>
              <c:numCache>
                <c:formatCode>General</c:formatCode>
                <c:ptCount val="14"/>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34D4-4E4C-B712-1E206DAB66A1}"/>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Sheet'!$C$86</c:f>
          <c:strCache>
            <c:ptCount val="1"/>
            <c:pt idx="0">
              <c:v>Materials in Buildings in Stock: Both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Sheet'!$D$88</c:f>
              <c:strCache>
                <c:ptCount val="1"/>
                <c:pt idx="0">
                  <c:v>Brick</c:v>
                </c:pt>
              </c:strCache>
            </c:strRef>
          </c:tx>
          <c:spPr>
            <a:solidFill>
              <a:schemeClr val="accent5">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Sheet'!$E$88:$M$88</c:f>
              <c:numCache>
                <c:formatCode>0</c:formatCode>
                <c:ptCount val="9"/>
                <c:pt idx="0">
                  <c:v>2</c:v>
                </c:pt>
                <c:pt idx="1">
                  <c:v>2</c:v>
                </c:pt>
                <c:pt idx="2">
                  <c:v>2</c:v>
                </c:pt>
                <c:pt idx="3">
                  <c:v>2</c:v>
                </c:pt>
                <c:pt idx="4">
                  <c:v>2</c:v>
                </c:pt>
                <c:pt idx="5">
                  <c:v>2</c:v>
                </c:pt>
                <c:pt idx="6">
                  <c:v>0</c:v>
                </c:pt>
                <c:pt idx="7">
                  <c:v>0</c:v>
                </c:pt>
                <c:pt idx="8">
                  <c:v>0</c:v>
                </c:pt>
              </c:numCache>
            </c:numRef>
          </c:val>
          <c:extLst>
            <c:ext xmlns:c16="http://schemas.microsoft.com/office/drawing/2014/chart" uri="{C3380CC4-5D6E-409C-BE32-E72D297353CC}">
              <c16:uniqueId val="{00000000-4E31-474E-9208-C571AFDB5F0E}"/>
            </c:ext>
          </c:extLst>
        </c:ser>
        <c:ser>
          <c:idx val="1"/>
          <c:order val="1"/>
          <c:tx>
            <c:strRef>
              <c:f>'Home Tracker Input Sheet'!$D$89</c:f>
              <c:strCache>
                <c:ptCount val="1"/>
                <c:pt idx="0">
                  <c:v>Wood</c:v>
                </c:pt>
              </c:strCache>
            </c:strRef>
          </c:tx>
          <c:spPr>
            <a:solidFill>
              <a:srgbClr val="FFFF99"/>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Sheet'!$E$89:$M$89</c:f>
              <c:numCache>
                <c:formatCode>0</c:formatCode>
                <c:ptCount val="9"/>
                <c:pt idx="0">
                  <c:v>2.5</c:v>
                </c:pt>
                <c:pt idx="1">
                  <c:v>2.5</c:v>
                </c:pt>
                <c:pt idx="2">
                  <c:v>2.5</c:v>
                </c:pt>
                <c:pt idx="3">
                  <c:v>2.5</c:v>
                </c:pt>
                <c:pt idx="4">
                  <c:v>2.5</c:v>
                </c:pt>
                <c:pt idx="5">
                  <c:v>2.5</c:v>
                </c:pt>
                <c:pt idx="6">
                  <c:v>0</c:v>
                </c:pt>
                <c:pt idx="7">
                  <c:v>0</c:v>
                </c:pt>
                <c:pt idx="8">
                  <c:v>0</c:v>
                </c:pt>
              </c:numCache>
            </c:numRef>
          </c:val>
          <c:extLst>
            <c:ext xmlns:c16="http://schemas.microsoft.com/office/drawing/2014/chart" uri="{C3380CC4-5D6E-409C-BE32-E72D297353CC}">
              <c16:uniqueId val="{00000001-4E31-474E-9208-C571AFDB5F0E}"/>
            </c:ext>
          </c:extLst>
        </c:ser>
        <c:ser>
          <c:idx val="2"/>
          <c:order val="2"/>
          <c:tx>
            <c:strRef>
              <c:f>'Home Tracker Input Sheet'!$D$90</c:f>
              <c:strCache>
                <c:ptCount val="1"/>
                <c:pt idx="0">
                  <c:v>Metal</c:v>
                </c:pt>
              </c:strCache>
            </c:strRef>
          </c:tx>
          <c:spPr>
            <a:solidFill>
              <a:schemeClr val="accent6">
                <a:lumMod val="40000"/>
                <a:lumOff val="6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Sheet'!$E$90:$M$90</c:f>
              <c:numCache>
                <c:formatCode>0</c:formatCode>
                <c:ptCount val="9"/>
                <c:pt idx="0">
                  <c:v>1</c:v>
                </c:pt>
                <c:pt idx="1">
                  <c:v>1</c:v>
                </c:pt>
                <c:pt idx="2">
                  <c:v>1</c:v>
                </c:pt>
                <c:pt idx="3">
                  <c:v>1</c:v>
                </c:pt>
                <c:pt idx="4">
                  <c:v>1</c:v>
                </c:pt>
                <c:pt idx="5">
                  <c:v>1</c:v>
                </c:pt>
                <c:pt idx="6">
                  <c:v>0</c:v>
                </c:pt>
                <c:pt idx="7">
                  <c:v>0</c:v>
                </c:pt>
                <c:pt idx="8">
                  <c:v>0</c:v>
                </c:pt>
              </c:numCache>
            </c:numRef>
          </c:val>
          <c:extLst>
            <c:ext xmlns:c16="http://schemas.microsoft.com/office/drawing/2014/chart" uri="{C3380CC4-5D6E-409C-BE32-E72D297353CC}">
              <c16:uniqueId val="{00000002-4E31-474E-9208-C571AFDB5F0E}"/>
            </c:ext>
          </c:extLst>
        </c:ser>
        <c:ser>
          <c:idx val="3"/>
          <c:order val="3"/>
          <c:tx>
            <c:strRef>
              <c:f>'Home Tracker Input Sheet'!$D$91</c:f>
              <c:strCache>
                <c:ptCount val="1"/>
                <c:pt idx="0">
                  <c:v>Glass</c:v>
                </c:pt>
              </c:strCache>
            </c:strRef>
          </c:tx>
          <c:spPr>
            <a:solidFill>
              <a:schemeClr val="accent3">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Sheet'!$E$91:$M$91</c:f>
              <c:numCache>
                <c:formatCode>0</c:formatCode>
                <c:ptCount val="9"/>
                <c:pt idx="0">
                  <c:v>1</c:v>
                </c:pt>
                <c:pt idx="1">
                  <c:v>1</c:v>
                </c:pt>
                <c:pt idx="2">
                  <c:v>1</c:v>
                </c:pt>
                <c:pt idx="3">
                  <c:v>1</c:v>
                </c:pt>
                <c:pt idx="4">
                  <c:v>1</c:v>
                </c:pt>
                <c:pt idx="5">
                  <c:v>1</c:v>
                </c:pt>
                <c:pt idx="6">
                  <c:v>0</c:v>
                </c:pt>
                <c:pt idx="7">
                  <c:v>0</c:v>
                </c:pt>
                <c:pt idx="8">
                  <c:v>0</c:v>
                </c:pt>
              </c:numCache>
            </c:numRef>
          </c:val>
          <c:extLst>
            <c:ext xmlns:c16="http://schemas.microsoft.com/office/drawing/2014/chart" uri="{C3380CC4-5D6E-409C-BE32-E72D297353CC}">
              <c16:uniqueId val="{00000003-4E31-474E-9208-C571AFDB5F0E}"/>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Sheet'!$W$127</c:f>
          <c:strCache>
            <c:ptCount val="1"/>
            <c:pt idx="0">
              <c:v>Materials from Demolished Buildings for Reuse/Recycling: Both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Sheet'!$X$129</c:f>
              <c:strCache>
                <c:ptCount val="1"/>
                <c:pt idx="0">
                  <c:v>Brick</c:v>
                </c:pt>
              </c:strCache>
            </c:strRef>
          </c:tx>
          <c:spPr>
            <a:solidFill>
              <a:schemeClr val="accent6">
                <a:lumMod val="40000"/>
                <a:lumOff val="60000"/>
              </a:schemeClr>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Sheet'!$Y$129:$AG$129</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0-06A6-4993-AD1D-69A1DD031ADE}"/>
            </c:ext>
          </c:extLst>
        </c:ser>
        <c:ser>
          <c:idx val="2"/>
          <c:order val="1"/>
          <c:tx>
            <c:strRef>
              <c:f>'Home Tracker Input Sheet'!$X$130</c:f>
              <c:strCache>
                <c:ptCount val="1"/>
                <c:pt idx="0">
                  <c:v>Wood</c:v>
                </c:pt>
              </c:strCache>
            </c:strRef>
          </c:tx>
          <c:spPr>
            <a:solidFill>
              <a:srgbClr val="FFFF99"/>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Sheet'!$Y$130:$AG$130</c:f>
              <c:numCache>
                <c:formatCode>0</c:formatCode>
                <c:ptCount val="9"/>
                <c:pt idx="0">
                  <c:v>0</c:v>
                </c:pt>
                <c:pt idx="1">
                  <c:v>0</c:v>
                </c:pt>
                <c:pt idx="2">
                  <c:v>0</c:v>
                </c:pt>
                <c:pt idx="3">
                  <c:v>0</c:v>
                </c:pt>
                <c:pt idx="4">
                  <c:v>0</c:v>
                </c:pt>
                <c:pt idx="5">
                  <c:v>0</c:v>
                </c:pt>
                <c:pt idx="6">
                  <c:v>2</c:v>
                </c:pt>
                <c:pt idx="7">
                  <c:v>0</c:v>
                </c:pt>
                <c:pt idx="8">
                  <c:v>0</c:v>
                </c:pt>
              </c:numCache>
            </c:numRef>
          </c:val>
          <c:extLst>
            <c:ext xmlns:c16="http://schemas.microsoft.com/office/drawing/2014/chart" uri="{C3380CC4-5D6E-409C-BE32-E72D297353CC}">
              <c16:uniqueId val="{00000001-06A6-4993-AD1D-69A1DD031ADE}"/>
            </c:ext>
          </c:extLst>
        </c:ser>
        <c:ser>
          <c:idx val="3"/>
          <c:order val="2"/>
          <c:tx>
            <c:strRef>
              <c:f>'Home Tracker Input Sheet'!$X$131</c:f>
              <c:strCache>
                <c:ptCount val="1"/>
                <c:pt idx="0">
                  <c:v>Metal</c:v>
                </c:pt>
              </c:strCache>
            </c:strRef>
          </c:tx>
          <c:spPr>
            <a:solidFill>
              <a:srgbClr val="9999FF"/>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Sheet'!$Y$131:$AG$131</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2-06A6-4993-AD1D-69A1DD031ADE}"/>
            </c:ext>
          </c:extLst>
        </c:ser>
        <c:ser>
          <c:idx val="4"/>
          <c:order val="3"/>
          <c:tx>
            <c:strRef>
              <c:f>'Home Tracker Input Sheet'!$X$132</c:f>
              <c:strCache>
                <c:ptCount val="1"/>
                <c:pt idx="0">
                  <c:v>Glass</c:v>
                </c:pt>
              </c:strCache>
            </c:strRef>
          </c:tx>
          <c:spPr>
            <a:solidFill>
              <a:schemeClr val="accent5">
                <a:lumMod val="60000"/>
                <a:lumOff val="40000"/>
              </a:schemeClr>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Sheet'!$Y$132:$AG$132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06A6-4993-AD1D-69A1DD031ADE}"/>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Sheet'!$C$30</c:f>
          <c:strCache>
            <c:ptCount val="1"/>
            <c:pt idx="0">
              <c:v>Materials for Construction: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Sheet'!$D$32</c:f>
              <c:strCache>
                <c:ptCount val="1"/>
                <c:pt idx="0">
                  <c:v>Brick</c:v>
                </c:pt>
              </c:strCache>
            </c:strRef>
          </c:tx>
          <c:spPr>
            <a:solidFill>
              <a:schemeClr val="accent5">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Sheet'!$E$32:$M$32</c:f>
              <c:numCache>
                <c:formatCode>0</c:formatCode>
                <c:ptCount val="9"/>
                <c:pt idx="0">
                  <c:v>3</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8F2F-4B93-BBC2-7A7B3EB48721}"/>
            </c:ext>
          </c:extLst>
        </c:ser>
        <c:ser>
          <c:idx val="1"/>
          <c:order val="1"/>
          <c:tx>
            <c:strRef>
              <c:f>'Home Tracker Input Sheet'!$D$33</c:f>
              <c:strCache>
                <c:ptCount val="1"/>
                <c:pt idx="0">
                  <c:v>Wood</c:v>
                </c:pt>
              </c:strCache>
            </c:strRef>
          </c:tx>
          <c:spPr>
            <a:solidFill>
              <a:srgbClr val="FFFF99"/>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Sheet'!$E$33:$M$33</c:f>
              <c:numCache>
                <c:formatCode>0</c:formatCode>
                <c:ptCount val="9"/>
                <c:pt idx="0">
                  <c:v>3</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8F2F-4B93-BBC2-7A7B3EB48721}"/>
            </c:ext>
          </c:extLst>
        </c:ser>
        <c:ser>
          <c:idx val="2"/>
          <c:order val="2"/>
          <c:tx>
            <c:strRef>
              <c:f>'Home Tracker Input Sheet'!$D$34</c:f>
              <c:strCache>
                <c:ptCount val="1"/>
                <c:pt idx="0">
                  <c:v>Metal</c:v>
                </c:pt>
              </c:strCache>
            </c:strRef>
          </c:tx>
          <c:spPr>
            <a:solidFill>
              <a:schemeClr val="accent6">
                <a:lumMod val="40000"/>
                <a:lumOff val="6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Sheet'!$E$34:$M$34</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F2F-4B93-BBC2-7A7B3EB48721}"/>
            </c:ext>
          </c:extLst>
        </c:ser>
        <c:ser>
          <c:idx val="3"/>
          <c:order val="3"/>
          <c:tx>
            <c:strRef>
              <c:f>'Home Tracker Input Sheet'!$D$35</c:f>
              <c:strCache>
                <c:ptCount val="1"/>
                <c:pt idx="0">
                  <c:v>Glass</c:v>
                </c:pt>
              </c:strCache>
            </c:strRef>
          </c:tx>
          <c:spPr>
            <a:solidFill>
              <a:schemeClr val="accent3">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Sheet'!$E$35:$M$35</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F2F-4B93-BBC2-7A7B3EB48721}"/>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Built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Sheet'!$D$16</c:f>
              <c:strCache>
                <c:ptCount val="1"/>
                <c:pt idx="0">
                  <c:v>SF</c:v>
                </c:pt>
              </c:strCache>
            </c:strRef>
          </c:tx>
          <c:spPr>
            <a:solidFill>
              <a:schemeClr val="accent1"/>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Sheet'!$E$16:$M$16</c:f>
              <c:numCache>
                <c:formatCode>General</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2E39-4B38-BDB5-1F0D0F2B7B93}"/>
            </c:ext>
          </c:extLst>
        </c:ser>
        <c:ser>
          <c:idx val="1"/>
          <c:order val="1"/>
          <c:tx>
            <c:strRef>
              <c:f>'Home Tracker Input Sheet'!$D$20</c:f>
              <c:strCache>
                <c:ptCount val="1"/>
                <c:pt idx="0">
                  <c:v>MF</c:v>
                </c:pt>
              </c:strCache>
            </c:strRef>
          </c:tx>
          <c:spPr>
            <a:solidFill>
              <a:schemeClr val="accent2"/>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Sheet'!$E$20:$M$20</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2E39-4B38-BDB5-1F0D0F2B7B93}"/>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Sheet'!$C$38</c:f>
          <c:strCache>
            <c:ptCount val="1"/>
            <c:pt idx="0">
              <c:v>Materials for Construction: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Sheet'!$D$40</c:f>
              <c:strCache>
                <c:ptCount val="1"/>
                <c:pt idx="0">
                  <c:v>Brick</c:v>
                </c:pt>
              </c:strCache>
            </c:strRef>
          </c:tx>
          <c:spPr>
            <a:solidFill>
              <a:schemeClr val="accent5">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Sheet'!$E$40:$M$40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595D-49E1-855A-BCE461F6099C}"/>
            </c:ext>
          </c:extLst>
        </c:ser>
        <c:ser>
          <c:idx val="1"/>
          <c:order val="1"/>
          <c:tx>
            <c:strRef>
              <c:f>'Home Tracker Input Sheet'!$D$41</c:f>
              <c:strCache>
                <c:ptCount val="1"/>
                <c:pt idx="0">
                  <c:v>Wood</c:v>
                </c:pt>
              </c:strCache>
            </c:strRef>
          </c:tx>
          <c:spPr>
            <a:solidFill>
              <a:srgbClr val="FFFF99"/>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Sheet'!$E$41:$M$41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595D-49E1-855A-BCE461F6099C}"/>
            </c:ext>
          </c:extLst>
        </c:ser>
        <c:ser>
          <c:idx val="2"/>
          <c:order val="2"/>
          <c:tx>
            <c:strRef>
              <c:f>'Home Tracker Input Sheet'!$D$42</c:f>
              <c:strCache>
                <c:ptCount val="1"/>
                <c:pt idx="0">
                  <c:v>Metal</c:v>
                </c:pt>
              </c:strCache>
            </c:strRef>
          </c:tx>
          <c:spPr>
            <a:solidFill>
              <a:schemeClr val="accent6">
                <a:lumMod val="40000"/>
                <a:lumOff val="6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Sheet'!$E$42:$M$42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595D-49E1-855A-BCE461F6099C}"/>
            </c:ext>
          </c:extLst>
        </c:ser>
        <c:ser>
          <c:idx val="3"/>
          <c:order val="3"/>
          <c:tx>
            <c:strRef>
              <c:f>'Home Tracker Input Sheet'!$D$43</c:f>
              <c:strCache>
                <c:ptCount val="1"/>
                <c:pt idx="0">
                  <c:v>Glass</c:v>
                </c:pt>
              </c:strCache>
            </c:strRef>
          </c:tx>
          <c:spPr>
            <a:solidFill>
              <a:schemeClr val="accent3">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Sheet'!$E$43:$M$43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595D-49E1-855A-BCE461F6099C}"/>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Sheet'!$C$38</c:f>
          <c:strCache>
            <c:ptCount val="1"/>
            <c:pt idx="0">
              <c:v>Materials for Construction: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Sheet'!$D$40</c:f>
              <c:strCache>
                <c:ptCount val="1"/>
                <c:pt idx="0">
                  <c:v>Brick</c:v>
                </c:pt>
              </c:strCache>
            </c:strRef>
          </c:tx>
          <c:spPr>
            <a:solidFill>
              <a:schemeClr val="accent5">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Sheet'!$E$48:$M$48</c:f>
              <c:numCache>
                <c:formatCode>0</c:formatCode>
                <c:ptCount val="9"/>
                <c:pt idx="0">
                  <c:v>3</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7947-4050-812F-AE8E5203B5AA}"/>
            </c:ext>
          </c:extLst>
        </c:ser>
        <c:ser>
          <c:idx val="1"/>
          <c:order val="1"/>
          <c:tx>
            <c:strRef>
              <c:f>'Home Tracker Input Sheet'!$D$41</c:f>
              <c:strCache>
                <c:ptCount val="1"/>
                <c:pt idx="0">
                  <c:v>Wood</c:v>
                </c:pt>
              </c:strCache>
            </c:strRef>
          </c:tx>
          <c:spPr>
            <a:solidFill>
              <a:srgbClr val="FFFF99"/>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Sheet'!$E$49:$M$49</c:f>
              <c:numCache>
                <c:formatCode>0</c:formatCode>
                <c:ptCount val="9"/>
                <c:pt idx="0">
                  <c:v>3</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7947-4050-812F-AE8E5203B5AA}"/>
            </c:ext>
          </c:extLst>
        </c:ser>
        <c:ser>
          <c:idx val="2"/>
          <c:order val="2"/>
          <c:tx>
            <c:strRef>
              <c:f>'Home Tracker Input Sheet'!$D$42</c:f>
              <c:strCache>
                <c:ptCount val="1"/>
                <c:pt idx="0">
                  <c:v>Metal</c:v>
                </c:pt>
              </c:strCache>
            </c:strRef>
          </c:tx>
          <c:spPr>
            <a:solidFill>
              <a:schemeClr val="accent6">
                <a:lumMod val="40000"/>
                <a:lumOff val="6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Sheet'!$E$50:$M$50</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7947-4050-812F-AE8E5203B5AA}"/>
            </c:ext>
          </c:extLst>
        </c:ser>
        <c:ser>
          <c:idx val="3"/>
          <c:order val="3"/>
          <c:tx>
            <c:strRef>
              <c:f>'Home Tracker Input Sheet'!$D$43</c:f>
              <c:strCache>
                <c:ptCount val="1"/>
                <c:pt idx="0">
                  <c:v>Glass</c:v>
                </c:pt>
              </c:strCache>
            </c:strRef>
          </c:tx>
          <c:spPr>
            <a:solidFill>
              <a:schemeClr val="accent3">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Sheet'!$E$51:$M$51</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7947-4050-812F-AE8E5203B5AA}"/>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Sheet'!$C$111</c:f>
          <c:strCache>
            <c:ptCount val="1"/>
            <c:pt idx="0">
              <c:v>Total Materials from Demolished Buildings: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Sheet'!$X$113</c:f>
              <c:strCache>
                <c:ptCount val="1"/>
                <c:pt idx="0">
                  <c:v>Brick</c:v>
                </c:pt>
              </c:strCache>
            </c:strRef>
          </c:tx>
          <c:spPr>
            <a:solidFill>
              <a:schemeClr val="accent5">
                <a:lumMod val="60000"/>
                <a:lumOff val="40000"/>
              </a:schemeClr>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Sheet'!$E$113:$M$113</c:f>
              <c:numCache>
                <c:formatCode>0</c:formatCode>
                <c:ptCount val="9"/>
                <c:pt idx="0">
                  <c:v>0</c:v>
                </c:pt>
                <c:pt idx="1">
                  <c:v>0</c:v>
                </c:pt>
                <c:pt idx="2">
                  <c:v>0</c:v>
                </c:pt>
                <c:pt idx="3">
                  <c:v>0</c:v>
                </c:pt>
                <c:pt idx="4">
                  <c:v>0</c:v>
                </c:pt>
                <c:pt idx="5">
                  <c:v>0</c:v>
                </c:pt>
                <c:pt idx="6">
                  <c:v>2</c:v>
                </c:pt>
                <c:pt idx="7">
                  <c:v>0</c:v>
                </c:pt>
                <c:pt idx="8">
                  <c:v>0</c:v>
                </c:pt>
              </c:numCache>
            </c:numRef>
          </c:val>
          <c:extLst>
            <c:ext xmlns:c16="http://schemas.microsoft.com/office/drawing/2014/chart" uri="{C3380CC4-5D6E-409C-BE32-E72D297353CC}">
              <c16:uniqueId val="{00000000-7AB6-4F04-865C-3DED07E857D1}"/>
            </c:ext>
          </c:extLst>
        </c:ser>
        <c:ser>
          <c:idx val="1"/>
          <c:order val="1"/>
          <c:tx>
            <c:strRef>
              <c:f>'Home Tracker Input Sheet'!$X$114</c:f>
              <c:strCache>
                <c:ptCount val="1"/>
                <c:pt idx="0">
                  <c:v>Wood</c:v>
                </c:pt>
              </c:strCache>
            </c:strRef>
          </c:tx>
          <c:spPr>
            <a:solidFill>
              <a:srgbClr val="FFFF99"/>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Sheet'!$E$114:$M$114</c:f>
              <c:numCache>
                <c:formatCode>0</c:formatCode>
                <c:ptCount val="9"/>
                <c:pt idx="0">
                  <c:v>0</c:v>
                </c:pt>
                <c:pt idx="1">
                  <c:v>0</c:v>
                </c:pt>
                <c:pt idx="2">
                  <c:v>0</c:v>
                </c:pt>
                <c:pt idx="3">
                  <c:v>0</c:v>
                </c:pt>
                <c:pt idx="4">
                  <c:v>0</c:v>
                </c:pt>
                <c:pt idx="5">
                  <c:v>0</c:v>
                </c:pt>
                <c:pt idx="6">
                  <c:v>2.5</c:v>
                </c:pt>
                <c:pt idx="7">
                  <c:v>0</c:v>
                </c:pt>
                <c:pt idx="8">
                  <c:v>0</c:v>
                </c:pt>
              </c:numCache>
            </c:numRef>
          </c:val>
          <c:extLst>
            <c:ext xmlns:c16="http://schemas.microsoft.com/office/drawing/2014/chart" uri="{C3380CC4-5D6E-409C-BE32-E72D297353CC}">
              <c16:uniqueId val="{00000001-7AB6-4F04-865C-3DED07E857D1}"/>
            </c:ext>
          </c:extLst>
        </c:ser>
        <c:ser>
          <c:idx val="2"/>
          <c:order val="2"/>
          <c:tx>
            <c:strRef>
              <c:f>'Home Tracker Input Sheet'!$X$115</c:f>
              <c:strCache>
                <c:ptCount val="1"/>
                <c:pt idx="0">
                  <c:v>Metal</c:v>
                </c:pt>
              </c:strCache>
            </c:strRef>
          </c:tx>
          <c:spPr>
            <a:solidFill>
              <a:schemeClr val="accent6">
                <a:lumMod val="40000"/>
                <a:lumOff val="60000"/>
              </a:schemeClr>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Sheet'!$E$115:$M$115</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2-7AB6-4F04-865C-3DED07E857D1}"/>
            </c:ext>
          </c:extLst>
        </c:ser>
        <c:ser>
          <c:idx val="3"/>
          <c:order val="3"/>
          <c:tx>
            <c:strRef>
              <c:f>'Home Tracker Input Sheet'!$X$116</c:f>
              <c:strCache>
                <c:ptCount val="1"/>
                <c:pt idx="0">
                  <c:v>Glass</c:v>
                </c:pt>
              </c:strCache>
            </c:strRef>
          </c:tx>
          <c:spPr>
            <a:solidFill>
              <a:schemeClr val="accent3">
                <a:lumMod val="60000"/>
                <a:lumOff val="40000"/>
              </a:schemeClr>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Sheet'!$E$116:$M$116</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3-7AB6-4F04-865C-3DED07E857D1}"/>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Demolished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Sheet'!$D$18</c:f>
              <c:strCache>
                <c:ptCount val="1"/>
                <c:pt idx="0">
                  <c:v>SF</c:v>
                </c:pt>
              </c:strCache>
            </c:strRef>
          </c:tx>
          <c:spPr>
            <a:solidFill>
              <a:schemeClr val="accent1"/>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Sheet'!$E$17:$R$17</c:f>
              <c:numCache>
                <c:formatCode>General</c:formatCode>
                <c:ptCount val="14"/>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0-3F7C-4A08-A27B-060FB259B769}"/>
            </c:ext>
          </c:extLst>
        </c:ser>
        <c:ser>
          <c:idx val="1"/>
          <c:order val="1"/>
          <c:tx>
            <c:strRef>
              <c:f>'Home Tracker Input Sheet'!$D$22</c:f>
              <c:strCache>
                <c:ptCount val="1"/>
                <c:pt idx="0">
                  <c:v>MF</c:v>
                </c:pt>
              </c:strCache>
            </c:strRef>
          </c:tx>
          <c:spPr>
            <a:solidFill>
              <a:schemeClr val="accent2"/>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Sheet'!$E$21:$R$21</c:f>
              <c:numCache>
                <c:formatCode>General</c:formatCode>
                <c:ptCount val="14"/>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3F7C-4A08-A27B-060FB259B769}"/>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Sheet'!$C$119</c:f>
          <c:strCache>
            <c:ptCount val="1"/>
            <c:pt idx="0">
              <c:v>Total Materials from Demolished Buildings: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Sheet'!$D$121</c:f>
              <c:strCache>
                <c:ptCount val="1"/>
                <c:pt idx="0">
                  <c:v>Brick</c:v>
                </c:pt>
              </c:strCache>
            </c:strRef>
          </c:tx>
          <c:spPr>
            <a:solidFill>
              <a:schemeClr val="accent5">
                <a:lumMod val="60000"/>
                <a:lumOff val="4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Sheet'!$E$121:$M$121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A7A3-4CB8-BF63-79552BFD1646}"/>
            </c:ext>
          </c:extLst>
        </c:ser>
        <c:ser>
          <c:idx val="2"/>
          <c:order val="1"/>
          <c:tx>
            <c:strRef>
              <c:f>'Home Tracker Input Sheet'!$D$122</c:f>
              <c:strCache>
                <c:ptCount val="1"/>
                <c:pt idx="0">
                  <c:v>Wood</c:v>
                </c:pt>
              </c:strCache>
            </c:strRef>
          </c:tx>
          <c:spPr>
            <a:solidFill>
              <a:schemeClr val="accent3"/>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Sheet'!$E$122:$M$122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A7A3-4CB8-BF63-79552BFD1646}"/>
            </c:ext>
          </c:extLst>
        </c:ser>
        <c:ser>
          <c:idx val="3"/>
          <c:order val="2"/>
          <c:tx>
            <c:strRef>
              <c:f>'Home Tracker Input Sheet'!$D$123</c:f>
              <c:strCache>
                <c:ptCount val="1"/>
                <c:pt idx="0">
                  <c:v>Metal</c:v>
                </c:pt>
              </c:strCache>
            </c:strRef>
          </c:tx>
          <c:spPr>
            <a:solidFill>
              <a:schemeClr val="accent6">
                <a:lumMod val="40000"/>
                <a:lumOff val="6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Sheet'!$E$123:$M$123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7A3-4CB8-BF63-79552BFD1646}"/>
            </c:ext>
          </c:extLst>
        </c:ser>
        <c:ser>
          <c:idx val="4"/>
          <c:order val="3"/>
          <c:tx>
            <c:strRef>
              <c:f>'Home Tracker Input Sheet'!$D$124</c:f>
              <c:strCache>
                <c:ptCount val="1"/>
                <c:pt idx="0">
                  <c:v>Glass</c:v>
                </c:pt>
              </c:strCache>
            </c:strRef>
          </c:tx>
          <c:spPr>
            <a:solidFill>
              <a:schemeClr val="accent3">
                <a:lumMod val="60000"/>
                <a:lumOff val="4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Sheet'!$E$124:$M$124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A7A3-4CB8-BF63-79552BFD1646}"/>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Sheet'!$C$127</c:f>
          <c:strCache>
            <c:ptCount val="1"/>
            <c:pt idx="0">
              <c:v>Total Materials from Demolished Buildings: Both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Sheet'!$D$121</c:f>
              <c:strCache>
                <c:ptCount val="1"/>
                <c:pt idx="0">
                  <c:v>Brick</c:v>
                </c:pt>
              </c:strCache>
            </c:strRef>
          </c:tx>
          <c:spPr>
            <a:solidFill>
              <a:schemeClr val="accent5">
                <a:lumMod val="60000"/>
                <a:lumOff val="40000"/>
              </a:schemeClr>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Sheet'!$E$129:$M$129</c:f>
              <c:numCache>
                <c:formatCode>0</c:formatCode>
                <c:ptCount val="9"/>
                <c:pt idx="0">
                  <c:v>0</c:v>
                </c:pt>
                <c:pt idx="1">
                  <c:v>0</c:v>
                </c:pt>
                <c:pt idx="2">
                  <c:v>0</c:v>
                </c:pt>
                <c:pt idx="3">
                  <c:v>0</c:v>
                </c:pt>
                <c:pt idx="4">
                  <c:v>0</c:v>
                </c:pt>
                <c:pt idx="5">
                  <c:v>0</c:v>
                </c:pt>
                <c:pt idx="6">
                  <c:v>2</c:v>
                </c:pt>
                <c:pt idx="7">
                  <c:v>0</c:v>
                </c:pt>
                <c:pt idx="8">
                  <c:v>0</c:v>
                </c:pt>
              </c:numCache>
            </c:numRef>
          </c:val>
          <c:extLst>
            <c:ext xmlns:c16="http://schemas.microsoft.com/office/drawing/2014/chart" uri="{C3380CC4-5D6E-409C-BE32-E72D297353CC}">
              <c16:uniqueId val="{00000000-ED17-4DAC-91F1-D4A4711D3E79}"/>
            </c:ext>
          </c:extLst>
        </c:ser>
        <c:ser>
          <c:idx val="2"/>
          <c:order val="1"/>
          <c:tx>
            <c:strRef>
              <c:f>'Home Tracker Input Sheet'!$D$122</c:f>
              <c:strCache>
                <c:ptCount val="1"/>
                <c:pt idx="0">
                  <c:v>Wood</c:v>
                </c:pt>
              </c:strCache>
            </c:strRef>
          </c:tx>
          <c:spPr>
            <a:solidFill>
              <a:srgbClr val="FFFF99"/>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Sheet'!$E$130:$M$130</c:f>
              <c:numCache>
                <c:formatCode>0</c:formatCode>
                <c:ptCount val="9"/>
                <c:pt idx="0">
                  <c:v>0</c:v>
                </c:pt>
                <c:pt idx="1">
                  <c:v>0</c:v>
                </c:pt>
                <c:pt idx="2">
                  <c:v>0</c:v>
                </c:pt>
                <c:pt idx="3">
                  <c:v>0</c:v>
                </c:pt>
                <c:pt idx="4">
                  <c:v>0</c:v>
                </c:pt>
                <c:pt idx="5">
                  <c:v>0</c:v>
                </c:pt>
                <c:pt idx="6">
                  <c:v>2.5</c:v>
                </c:pt>
                <c:pt idx="7">
                  <c:v>0</c:v>
                </c:pt>
                <c:pt idx="8">
                  <c:v>0</c:v>
                </c:pt>
              </c:numCache>
            </c:numRef>
          </c:val>
          <c:extLst>
            <c:ext xmlns:c16="http://schemas.microsoft.com/office/drawing/2014/chart" uri="{C3380CC4-5D6E-409C-BE32-E72D297353CC}">
              <c16:uniqueId val="{00000001-ED17-4DAC-91F1-D4A4711D3E79}"/>
            </c:ext>
          </c:extLst>
        </c:ser>
        <c:ser>
          <c:idx val="3"/>
          <c:order val="2"/>
          <c:tx>
            <c:strRef>
              <c:f>'Home Tracker Input Sheet'!$D$123</c:f>
              <c:strCache>
                <c:ptCount val="1"/>
                <c:pt idx="0">
                  <c:v>Metal</c:v>
                </c:pt>
              </c:strCache>
            </c:strRef>
          </c:tx>
          <c:spPr>
            <a:solidFill>
              <a:schemeClr val="accent6">
                <a:lumMod val="40000"/>
                <a:lumOff val="60000"/>
              </a:schemeClr>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Sheet'!$E$131:$M$131</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2-ED17-4DAC-91F1-D4A4711D3E79}"/>
            </c:ext>
          </c:extLst>
        </c:ser>
        <c:ser>
          <c:idx val="4"/>
          <c:order val="3"/>
          <c:tx>
            <c:strRef>
              <c:f>'Home Tracker Input Sheet'!$D$124</c:f>
              <c:strCache>
                <c:ptCount val="1"/>
                <c:pt idx="0">
                  <c:v>Glass</c:v>
                </c:pt>
              </c:strCache>
            </c:strRef>
          </c:tx>
          <c:spPr>
            <a:solidFill>
              <a:schemeClr val="accent3">
                <a:lumMod val="60000"/>
                <a:lumOff val="40000"/>
              </a:schemeClr>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Sheet'!$E$132:$M$132</c:f>
              <c:numCache>
                <c:formatCode>0</c:formatCode>
                <c:ptCount val="9"/>
                <c:pt idx="0">
                  <c:v>0</c:v>
                </c:pt>
                <c:pt idx="1">
                  <c:v>0</c:v>
                </c:pt>
                <c:pt idx="2">
                  <c:v>0</c:v>
                </c:pt>
                <c:pt idx="3">
                  <c:v>0</c:v>
                </c:pt>
                <c:pt idx="4">
                  <c:v>0</c:v>
                </c:pt>
                <c:pt idx="5">
                  <c:v>0</c:v>
                </c:pt>
                <c:pt idx="6">
                  <c:v>1</c:v>
                </c:pt>
                <c:pt idx="7">
                  <c:v>0</c:v>
                </c:pt>
                <c:pt idx="8">
                  <c:v>0</c:v>
                </c:pt>
              </c:numCache>
            </c:numRef>
          </c:val>
          <c:extLst>
            <c:ext xmlns:c16="http://schemas.microsoft.com/office/drawing/2014/chart" uri="{C3380CC4-5D6E-409C-BE32-E72D297353CC}">
              <c16:uniqueId val="{00000003-ED17-4DAC-91F1-D4A4711D3E79}"/>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Built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Sheet'!$D$16</c:f>
              <c:strCache>
                <c:ptCount val="1"/>
                <c:pt idx="0">
                  <c:v>SF</c:v>
                </c:pt>
              </c:strCache>
            </c:strRef>
          </c:tx>
          <c:spPr>
            <a:solidFill>
              <a:schemeClr val="accent1"/>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Sheet'!$E$16:$M$16</c:f>
              <c:numCache>
                <c:formatCode>General</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2FF9-4E56-8C90-D3032277D1BA}"/>
            </c:ext>
          </c:extLst>
        </c:ser>
        <c:ser>
          <c:idx val="1"/>
          <c:order val="1"/>
          <c:tx>
            <c:strRef>
              <c:f>'Home Tracker Input Sheet'!$D$20</c:f>
              <c:strCache>
                <c:ptCount val="1"/>
                <c:pt idx="0">
                  <c:v>MF</c:v>
                </c:pt>
              </c:strCache>
            </c:strRef>
          </c:tx>
          <c:spPr>
            <a:solidFill>
              <a:schemeClr val="accent2"/>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Sheet'!$E$20:$M$20</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2FF9-4E56-8C90-D3032277D1BA}"/>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Sheet'!$W$38</c:f>
          <c:strCache>
            <c:ptCount val="1"/>
            <c:pt idx="0">
              <c:v>Construction Scrap: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Sheet'!$D$40</c:f>
              <c:strCache>
                <c:ptCount val="1"/>
                <c:pt idx="0">
                  <c:v>Brick</c:v>
                </c:pt>
              </c:strCache>
            </c:strRef>
          </c:tx>
          <c:spPr>
            <a:solidFill>
              <a:schemeClr val="accent6">
                <a:lumMod val="40000"/>
                <a:lumOff val="6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Sheet'!$Y$40:$AG$40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9ABA-40CA-AAED-2C58F7053F34}"/>
            </c:ext>
          </c:extLst>
        </c:ser>
        <c:ser>
          <c:idx val="1"/>
          <c:order val="1"/>
          <c:tx>
            <c:strRef>
              <c:f>'Home Tracker Input Sheet'!$D$41</c:f>
              <c:strCache>
                <c:ptCount val="1"/>
                <c:pt idx="0">
                  <c:v>Wood</c:v>
                </c:pt>
              </c:strCache>
            </c:strRef>
          </c:tx>
          <c:spPr>
            <a:solidFill>
              <a:srgbClr val="FFFF99"/>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Sheet'!$Y$41:$AG$41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9ABA-40CA-AAED-2C58F7053F34}"/>
            </c:ext>
          </c:extLst>
        </c:ser>
        <c:ser>
          <c:idx val="2"/>
          <c:order val="2"/>
          <c:tx>
            <c:strRef>
              <c:f>'Home Tracker Input Sheet'!$D$42</c:f>
              <c:strCache>
                <c:ptCount val="1"/>
                <c:pt idx="0">
                  <c:v>Metal</c:v>
                </c:pt>
              </c:strCache>
            </c:strRef>
          </c:tx>
          <c:spPr>
            <a:solidFill>
              <a:srgbClr val="9999FF"/>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Sheet'!$Y$42:$AG$42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9ABA-40CA-AAED-2C58F7053F34}"/>
            </c:ext>
          </c:extLst>
        </c:ser>
        <c:ser>
          <c:idx val="3"/>
          <c:order val="3"/>
          <c:tx>
            <c:strRef>
              <c:f>'Home Tracker Input Sheet'!$D$43</c:f>
              <c:strCache>
                <c:ptCount val="1"/>
                <c:pt idx="0">
                  <c:v>Glass</c:v>
                </c:pt>
              </c:strCache>
            </c:strRef>
          </c:tx>
          <c:spPr>
            <a:solidFill>
              <a:schemeClr val="accent5">
                <a:lumMod val="60000"/>
                <a:lumOff val="4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Sheet'!$Y$43:$AG$43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9ABA-40CA-AAED-2C58F7053F34}"/>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Sheet'!$W$30</c:f>
          <c:strCache>
            <c:ptCount val="1"/>
            <c:pt idx="0">
              <c:v>Construction Scrap: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Sheet'!$D$32</c:f>
              <c:strCache>
                <c:ptCount val="1"/>
                <c:pt idx="0">
                  <c:v>Brick</c:v>
                </c:pt>
              </c:strCache>
            </c:strRef>
          </c:tx>
          <c:spPr>
            <a:solidFill>
              <a:schemeClr val="accent6">
                <a:lumMod val="40000"/>
                <a:lumOff val="6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Sheet'!$Y$32:$AG$32</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C2B-4B30-A5DD-03936C4A4DD3}"/>
            </c:ext>
          </c:extLst>
        </c:ser>
        <c:ser>
          <c:idx val="1"/>
          <c:order val="1"/>
          <c:tx>
            <c:strRef>
              <c:f>'Home Tracker Input Sheet'!$D$33</c:f>
              <c:strCache>
                <c:ptCount val="1"/>
                <c:pt idx="0">
                  <c:v>Wood</c:v>
                </c:pt>
              </c:strCache>
            </c:strRef>
          </c:tx>
          <c:spPr>
            <a:solidFill>
              <a:srgbClr val="FFFF99"/>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Sheet'!$Y$33:$AG$33</c:f>
              <c:numCache>
                <c:formatCode>0</c:formatCode>
                <c:ptCount val="9"/>
                <c:pt idx="0">
                  <c:v>0.5</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6C2B-4B30-A5DD-03936C4A4DD3}"/>
            </c:ext>
          </c:extLst>
        </c:ser>
        <c:ser>
          <c:idx val="2"/>
          <c:order val="2"/>
          <c:tx>
            <c:strRef>
              <c:f>'Home Tracker Input Sheet'!$D$34</c:f>
              <c:strCache>
                <c:ptCount val="1"/>
                <c:pt idx="0">
                  <c:v>Metal</c:v>
                </c:pt>
              </c:strCache>
            </c:strRef>
          </c:tx>
          <c:spPr>
            <a:solidFill>
              <a:srgbClr val="9999FF"/>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Sheet'!$Y$34:$AG$34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6C2B-4B30-A5DD-03936C4A4DD3}"/>
            </c:ext>
          </c:extLst>
        </c:ser>
        <c:ser>
          <c:idx val="3"/>
          <c:order val="3"/>
          <c:tx>
            <c:strRef>
              <c:f>'Home Tracker Input Sheet'!$D$35</c:f>
              <c:strCache>
                <c:ptCount val="1"/>
                <c:pt idx="0">
                  <c:v>Glass</c:v>
                </c:pt>
              </c:strCache>
            </c:strRef>
          </c:tx>
          <c:spPr>
            <a:solidFill>
              <a:schemeClr val="accent5">
                <a:lumMod val="60000"/>
                <a:lumOff val="4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Sheet'!$Y$35:$AG$35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6C2B-4B30-A5DD-03936C4A4DD3}"/>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Sheet'!$W$38</c:f>
          <c:strCache>
            <c:ptCount val="1"/>
            <c:pt idx="0">
              <c:v>Construction Scrap: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Sheet'!$D$48</c:f>
              <c:strCache>
                <c:ptCount val="1"/>
                <c:pt idx="0">
                  <c:v>Brick</c:v>
                </c:pt>
              </c:strCache>
            </c:strRef>
          </c:tx>
          <c:spPr>
            <a:solidFill>
              <a:schemeClr val="accent6">
                <a:lumMod val="40000"/>
                <a:lumOff val="6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Sheet'!$Y$48:$AG$48</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E34E-47B2-B5C5-4FB3E6866434}"/>
            </c:ext>
          </c:extLst>
        </c:ser>
        <c:ser>
          <c:idx val="1"/>
          <c:order val="1"/>
          <c:tx>
            <c:strRef>
              <c:f>'Home Tracker Input Sheet'!$D$49</c:f>
              <c:strCache>
                <c:ptCount val="1"/>
                <c:pt idx="0">
                  <c:v>Wood</c:v>
                </c:pt>
              </c:strCache>
            </c:strRef>
          </c:tx>
          <c:spPr>
            <a:solidFill>
              <a:srgbClr val="FFFF99"/>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Sheet'!$Y$49:$AG$49</c:f>
              <c:numCache>
                <c:formatCode>0</c:formatCode>
                <c:ptCount val="9"/>
                <c:pt idx="0">
                  <c:v>0.5</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E34E-47B2-B5C5-4FB3E6866434}"/>
            </c:ext>
          </c:extLst>
        </c:ser>
        <c:ser>
          <c:idx val="2"/>
          <c:order val="2"/>
          <c:tx>
            <c:strRef>
              <c:f>'Home Tracker Input Sheet'!$D$50</c:f>
              <c:strCache>
                <c:ptCount val="1"/>
                <c:pt idx="0">
                  <c:v>Metal</c:v>
                </c:pt>
              </c:strCache>
            </c:strRef>
          </c:tx>
          <c:spPr>
            <a:solidFill>
              <a:srgbClr val="9999FF"/>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Sheet'!$Y$50:$AG$50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E34E-47B2-B5C5-4FB3E6866434}"/>
            </c:ext>
          </c:extLst>
        </c:ser>
        <c:ser>
          <c:idx val="3"/>
          <c:order val="3"/>
          <c:tx>
            <c:strRef>
              <c:f>'Home Tracker Input Sheet'!$D$51</c:f>
              <c:strCache>
                <c:ptCount val="1"/>
                <c:pt idx="0">
                  <c:v>Glass</c:v>
                </c:pt>
              </c:strCache>
            </c:strRef>
          </c:tx>
          <c:spPr>
            <a:solidFill>
              <a:schemeClr val="accent5">
                <a:lumMod val="60000"/>
                <a:lumOff val="4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Sheet'!$Y$51:$AG$51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E34E-47B2-B5C5-4FB3E6866434}"/>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MWM Materials Total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Sheet'!$S$6:$S$14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8CE6-4DB7-B6B0-9388E691F028}"/>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Sheet'!$T$6:$T$14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8CE6-4DB7-B6B0-9388E691F028}"/>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Sheet'!$V$6:$V$14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8CE6-4DB7-B6B0-9388E691F028}"/>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WRM Materials Total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Sheet'!$S$24:$S$32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08A5-4A1B-9DB1-4A5594CC081A}"/>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Sheet'!$T$24:$T$32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08A5-4A1B-9DB1-4A5594CC081A}"/>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Sheet'!$V$24:$V$32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08A5-4A1B-9DB1-4A5594CC081A}"/>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CM &amp; DDM Materials Total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Sheet'!$S$40:$S$48</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0C65-4CF9-87D8-872DAABAFAB7}"/>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Sheet'!$T$40:$T$48</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0C65-4CF9-87D8-872DAABAFAB7}"/>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Sheet'!$V$40:$V$48</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0C65-4CF9-87D8-872DAABAFAB7}"/>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'Flow Tracker Input Sheet'!$B$52</c:f>
          <c:strCache>
            <c:ptCount val="1"/>
            <c:pt idx="0">
              <c:v>Overall: All Materials, All Roles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Sheet'!$S$56:$S$66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D7EF-4BA2-9905-D63352E4E2B6}"/>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Sheet'!$T$56:$T$66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D7EF-4BA2-9905-D63352E4E2B6}"/>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Sheet'!$V$56:$V$66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D7EF-4BA2-9905-D63352E4E2B6}"/>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Distribution (Years</a:t>
            </a:r>
            <a:r>
              <a:rPr lang="en-US" baseline="0"/>
              <a:t> until Demolition)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growing stock'!$E$5</c:f>
              <c:strCache>
                <c:ptCount val="1"/>
                <c:pt idx="0">
                  <c:v>Candy Town Lifespan Distribution</c:v>
                </c:pt>
              </c:strCache>
            </c:strRef>
          </c:tx>
          <c:spPr>
            <a:ln w="19050" cap="rnd">
              <a:solidFill>
                <a:schemeClr val="accent6"/>
              </a:solidFill>
              <a:round/>
            </a:ln>
            <a:effectLst/>
          </c:spPr>
          <c:marker>
            <c:symbol val="circle"/>
            <c:size val="5"/>
            <c:spPr>
              <a:solidFill>
                <a:schemeClr val="accent1"/>
              </a:solidFill>
              <a:ln w="9525">
                <a:solidFill>
                  <a:schemeClr val="accent6"/>
                </a:solidFill>
              </a:ln>
              <a:effectLst/>
            </c:spPr>
          </c:marker>
          <c:xVal>
            <c:numRef>
              <c:f>'Hummus Town, growing stock'!$F$6:$O$6</c:f>
              <c:numCache>
                <c:formatCode>General</c:formatCode>
                <c:ptCount val="10"/>
                <c:pt idx="0">
                  <c:v>0</c:v>
                </c:pt>
                <c:pt idx="1">
                  <c:v>10</c:v>
                </c:pt>
                <c:pt idx="2">
                  <c:v>20</c:v>
                </c:pt>
                <c:pt idx="3">
                  <c:v>30</c:v>
                </c:pt>
                <c:pt idx="4">
                  <c:v>40</c:v>
                </c:pt>
                <c:pt idx="5">
                  <c:v>50</c:v>
                </c:pt>
                <c:pt idx="6">
                  <c:v>60</c:v>
                </c:pt>
                <c:pt idx="7">
                  <c:v>70</c:v>
                </c:pt>
                <c:pt idx="8">
                  <c:v>80</c:v>
                </c:pt>
                <c:pt idx="9">
                  <c:v>90</c:v>
                </c:pt>
              </c:numCache>
            </c:numRef>
          </c:xVal>
          <c:yVal>
            <c:numRef>
              <c:f>'Hummus Town, growing stock'!$F$8:$O$8</c:f>
              <c:numCache>
                <c:formatCode>0.0%</c:formatCode>
                <c:ptCount val="10"/>
                <c:pt idx="0">
                  <c:v>0</c:v>
                </c:pt>
                <c:pt idx="1">
                  <c:v>0</c:v>
                </c:pt>
                <c:pt idx="2">
                  <c:v>0.1051606831856302</c:v>
                </c:pt>
                <c:pt idx="3">
                  <c:v>0.25365892838441523</c:v>
                </c:pt>
                <c:pt idx="4">
                  <c:v>0.27330094725851223</c:v>
                </c:pt>
                <c:pt idx="5">
                  <c:v>0.19886612576537621</c:v>
                </c:pt>
                <c:pt idx="6">
                  <c:v>0.10683679138394986</c:v>
                </c:pt>
                <c:pt idx="7">
                  <c:v>4.3860885133382044E-2</c:v>
                </c:pt>
                <c:pt idx="8">
                  <c:v>1.3995399414640119E-2</c:v>
                </c:pt>
                <c:pt idx="9">
                  <c:v>3.5042516390219047E-3</c:v>
                </c:pt>
              </c:numCache>
            </c:numRef>
          </c:yVal>
          <c:smooth val="0"/>
          <c:extLst>
            <c:ext xmlns:c16="http://schemas.microsoft.com/office/drawing/2014/chart" uri="{C3380CC4-5D6E-409C-BE32-E72D297353CC}">
              <c16:uniqueId val="{00000000-C7DE-4210-8FFD-191DB3534305}"/>
            </c:ext>
          </c:extLst>
        </c:ser>
        <c:ser>
          <c:idx val="1"/>
          <c:order val="1"/>
          <c:tx>
            <c:strRef>
              <c:f>'Hummus Town, growing stock'!$E$11</c:f>
              <c:strCache>
                <c:ptCount val="1"/>
                <c:pt idx="0">
                  <c:v>Hummus Town Longer Lifespan Distribution</c:v>
                </c:pt>
              </c:strCache>
            </c:strRef>
          </c:tx>
          <c:spPr>
            <a:ln w="19050" cap="rnd">
              <a:solidFill>
                <a:schemeClr val="accent3">
                  <a:lumMod val="50000"/>
                </a:schemeClr>
              </a:solidFill>
              <a:round/>
            </a:ln>
            <a:effectLst/>
          </c:spPr>
          <c:marker>
            <c:symbol val="circle"/>
            <c:size val="5"/>
            <c:spPr>
              <a:solidFill>
                <a:schemeClr val="accent2"/>
              </a:solidFill>
              <a:ln w="9525">
                <a:solidFill>
                  <a:schemeClr val="accent3">
                    <a:lumMod val="50000"/>
                  </a:schemeClr>
                </a:solidFill>
              </a:ln>
              <a:effectLst/>
            </c:spPr>
          </c:marker>
          <c:xVal>
            <c:numRef>
              <c:f>'Hummus Town, growing stock'!$F$12:$Z$12</c:f>
              <c:numCache>
                <c:formatCode>General</c:formatCode>
                <c:ptCount val="2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numCache>
            </c:numRef>
          </c:xVal>
          <c:yVal>
            <c:numRef>
              <c:f>'Hummus Town, growing stock'!$F$13:$Z$13</c:f>
              <c:numCache>
                <c:formatCode>0.0%</c:formatCode>
                <c:ptCount val="21"/>
                <c:pt idx="0">
                  <c:v>0</c:v>
                </c:pt>
                <c:pt idx="1">
                  <c:v>0</c:v>
                </c:pt>
                <c:pt idx="2">
                  <c:v>0</c:v>
                </c:pt>
                <c:pt idx="3">
                  <c:v>0</c:v>
                </c:pt>
                <c:pt idx="4">
                  <c:v>0</c:v>
                </c:pt>
                <c:pt idx="5">
                  <c:v>0.1051606831856302</c:v>
                </c:pt>
                <c:pt idx="6">
                  <c:v>0.25365892838441523</c:v>
                </c:pt>
                <c:pt idx="7">
                  <c:v>0.27330094725851223</c:v>
                </c:pt>
                <c:pt idx="8">
                  <c:v>0.19886612576537621</c:v>
                </c:pt>
                <c:pt idx="9">
                  <c:v>0.10683679138394986</c:v>
                </c:pt>
                <c:pt idx="10">
                  <c:v>4.3860885133382044E-2</c:v>
                </c:pt>
                <c:pt idx="11">
                  <c:v>1.3995399414640119E-2</c:v>
                </c:pt>
                <c:pt idx="12">
                  <c:v>3.5042516390219047E-3</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C7DE-4210-8FFD-191DB3534305}"/>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growing stock'!$F$37:$F$57</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stock'!$E$37:$E$57</c:f>
              <c:numCache>
                <c:formatCode>_(* #,##0_);_(* \(#,##0\);_(* "-"??_);_(@_)</c:formatCode>
                <c:ptCount val="21"/>
                <c:pt idx="0">
                  <c:v>100</c:v>
                </c:pt>
                <c:pt idx="1">
                  <c:v>5</c:v>
                </c:pt>
                <c:pt idx="2">
                  <c:v>16.75470333499527</c:v>
                </c:pt>
                <c:pt idx="3">
                  <c:v>31.87263634194036</c:v>
                </c:pt>
                <c:pt idx="4">
                  <c:v>36.128330727867414</c:v>
                </c:pt>
                <c:pt idx="5">
                  <c:v>34.831068966270166</c:v>
                </c:pt>
                <c:pt idx="6">
                  <c:v>34.551839538274791</c:v>
                </c:pt>
                <c:pt idx="7">
                  <c:v>36.600097562075852</c:v>
                </c:pt>
                <c:pt idx="8">
                  <c:v>39.220956543511697</c:v>
                </c:pt>
                <c:pt idx="9">
                  <c:v>41.407458274155232</c:v>
                </c:pt>
                <c:pt idx="10">
                  <c:v>43.120514022506931</c:v>
                </c:pt>
                <c:pt idx="11">
                  <c:v>45.226409335988222</c:v>
                </c:pt>
                <c:pt idx="12">
                  <c:v>47.536528472806872</c:v>
                </c:pt>
                <c:pt idx="13">
                  <c:v>49.948808688907704</c:v>
                </c:pt>
                <c:pt idx="14">
                  <c:v>52.441505155457712</c:v>
                </c:pt>
                <c:pt idx="15">
                  <c:v>55.049536784497242</c:v>
                </c:pt>
                <c:pt idx="16">
                  <c:v>57.7984354550549</c:v>
                </c:pt>
                <c:pt idx="17">
                  <c:v>60.690691053229763</c:v>
                </c:pt>
                <c:pt idx="18">
                  <c:v>63.725927971968495</c:v>
                </c:pt>
                <c:pt idx="19">
                  <c:v>66.910430695733254</c:v>
                </c:pt>
                <c:pt idx="20">
                  <c:v>70.2543675591115</c:v>
                </c:pt>
              </c:numCache>
            </c:numRef>
          </c:val>
          <c:extLst>
            <c:ext xmlns:c16="http://schemas.microsoft.com/office/drawing/2014/chart" uri="{C3380CC4-5D6E-409C-BE32-E72D297353CC}">
              <c16:uniqueId val="{00000000-E88F-4541-85E7-A04C697A9773}"/>
            </c:ext>
          </c:extLst>
        </c:ser>
        <c:ser>
          <c:idx val="1"/>
          <c:order val="1"/>
          <c:tx>
            <c:v>Houses Built, Using Hummus Town Lifespan</c:v>
          </c:tx>
          <c:spPr>
            <a:solidFill>
              <a:srgbClr val="00B050"/>
            </a:solidFill>
            <a:ln>
              <a:noFill/>
            </a:ln>
            <a:effectLst/>
          </c:spPr>
          <c:invertIfNegative val="0"/>
          <c:cat>
            <c:numRef>
              <c:f>'Hummus Town, growing stock'!$F$68:$F$88</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stock'!$E$68:$E$88</c:f>
              <c:numCache>
                <c:formatCode>_(* #,##0_);_(* \(#,##0\);_(* "-"??_);_(@_)</c:formatCode>
                <c:ptCount val="21"/>
                <c:pt idx="0">
                  <c:v>100</c:v>
                </c:pt>
                <c:pt idx="1">
                  <c:v>5</c:v>
                </c:pt>
                <c:pt idx="2">
                  <c:v>5.25</c:v>
                </c:pt>
                <c:pt idx="3">
                  <c:v>5.5125000000000028</c:v>
                </c:pt>
                <c:pt idx="4">
                  <c:v>5.788125000000008</c:v>
                </c:pt>
                <c:pt idx="5">
                  <c:v>17.582234584995277</c:v>
                </c:pt>
                <c:pt idx="6">
                  <c:v>32.741544154440376</c:v>
                </c:pt>
                <c:pt idx="7">
                  <c:v>35.717101942729911</c:v>
                </c:pt>
                <c:pt idx="8">
                  <c:v>29.789907959283529</c:v>
                </c:pt>
                <c:pt idx="9">
                  <c:v>22.149758573668677</c:v>
                </c:pt>
                <c:pt idx="10">
                  <c:v>18.465779549275567</c:v>
                </c:pt>
                <c:pt idx="11">
                  <c:v>21.145420926259188</c:v>
                </c:pt>
                <c:pt idx="12">
                  <c:v>28.246659131512509</c:v>
                </c:pt>
                <c:pt idx="13">
                  <c:v>34.823128334521201</c:v>
                </c:pt>
                <c:pt idx="14">
                  <c:v>37.842781868109441</c:v>
                </c:pt>
                <c:pt idx="15">
                  <c:v>36.944717777909652</c:v>
                </c:pt>
                <c:pt idx="16">
                  <c:v>34.668624484210248</c:v>
                </c:pt>
                <c:pt idx="17">
                  <c:v>33.974833025017702</c:v>
                </c:pt>
                <c:pt idx="18">
                  <c:v>36.187268581099062</c:v>
                </c:pt>
                <c:pt idx="19">
                  <c:v>40.486735919431545</c:v>
                </c:pt>
                <c:pt idx="20">
                  <c:v>44.923849958955124</c:v>
                </c:pt>
              </c:numCache>
            </c:numRef>
          </c:val>
          <c:extLst>
            <c:ext xmlns:c16="http://schemas.microsoft.com/office/drawing/2014/chart" uri="{C3380CC4-5D6E-409C-BE32-E72D297353CC}">
              <c16:uniqueId val="{00000001-E88F-4541-85E7-A04C697A9773}"/>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5027613879719701E-2"/>
              <c:y val="0.26802054419456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growing stock'!$AF$34</c:f>
              <c:strCache>
                <c:ptCount val="1"/>
                <c:pt idx="0">
                  <c:v>Hummus Town House Stock, Using Candy Town Lifespan Distribution</c:v>
                </c:pt>
              </c:strCache>
            </c:strRef>
          </c:tx>
          <c:spPr>
            <a:solidFill>
              <a:schemeClr val="accent6"/>
            </a:solidFill>
            <a:ln w="12700" cap="flat" cmpd="sng" algn="ctr">
              <a:solidFill>
                <a:schemeClr val="accent6"/>
              </a:solidFill>
              <a:prstDash val="solid"/>
              <a:miter lim="800000"/>
            </a:ln>
            <a:effectLst/>
          </c:spPr>
          <c:invertIfNegative val="0"/>
          <c:cat>
            <c:numRef>
              <c:f>'Hummus Town, growing stock'!$AF$36:$AZ$36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stock'!$AF$58:$AZ$58</c:f>
              <c:numCache>
                <c:formatCode>_(* #,##0_);_(* \(#,##0\);_(* "-"??_);_(@_)</c:formatCode>
                <c:ptCount val="21"/>
                <c:pt idx="0">
                  <c:v>100</c:v>
                </c:pt>
                <c:pt idx="1">
                  <c:v>105</c:v>
                </c:pt>
                <c:pt idx="2">
                  <c:v>110.25</c:v>
                </c:pt>
                <c:pt idx="3">
                  <c:v>115.76250000000002</c:v>
                </c:pt>
                <c:pt idx="4">
                  <c:v>121.55062500000003</c:v>
                </c:pt>
                <c:pt idx="5">
                  <c:v>127.62815625000002</c:v>
                </c:pt>
                <c:pt idx="6">
                  <c:v>134.00956406250003</c:v>
                </c:pt>
                <c:pt idx="7">
                  <c:v>140.71004226562505</c:v>
                </c:pt>
                <c:pt idx="8">
                  <c:v>147.74554437890635</c:v>
                </c:pt>
                <c:pt idx="9">
                  <c:v>155.13282159785163</c:v>
                </c:pt>
                <c:pt idx="10">
                  <c:v>162.88946267774421</c:v>
                </c:pt>
                <c:pt idx="11">
                  <c:v>171.03393581163144</c:v>
                </c:pt>
                <c:pt idx="12">
                  <c:v>179.58563260221302</c:v>
                </c:pt>
                <c:pt idx="13">
                  <c:v>188.56491423232364</c:v>
                </c:pt>
                <c:pt idx="14">
                  <c:v>197.99315994393987</c:v>
                </c:pt>
                <c:pt idx="15">
                  <c:v>207.89281794113688</c:v>
                </c:pt>
                <c:pt idx="16">
                  <c:v>218.28745883819374</c:v>
                </c:pt>
                <c:pt idx="17">
                  <c:v>229.20183178010345</c:v>
                </c:pt>
                <c:pt idx="18">
                  <c:v>240.66192336910862</c:v>
                </c:pt>
                <c:pt idx="19">
                  <c:v>252.69501953756406</c:v>
                </c:pt>
                <c:pt idx="20">
                  <c:v>265.32977051444226</c:v>
                </c:pt>
              </c:numCache>
            </c:numRef>
          </c:val>
          <c:extLst>
            <c:ext xmlns:c16="http://schemas.microsoft.com/office/drawing/2014/chart" uri="{C3380CC4-5D6E-409C-BE32-E72D297353CC}">
              <c16:uniqueId val="{00000000-2600-46D7-B828-4233624054B5}"/>
            </c:ext>
          </c:extLst>
        </c:ser>
        <c:ser>
          <c:idx val="1"/>
          <c:order val="1"/>
          <c:tx>
            <c:strRef>
              <c:f>'Hummus Town, growing stock'!$AF$65</c:f>
              <c:strCache>
                <c:ptCount val="1"/>
                <c:pt idx="0">
                  <c:v>Hummus Town House Stock, Using Hummus Town Lifespan Distribution</c:v>
                </c:pt>
              </c:strCache>
            </c:strRef>
          </c:tx>
          <c:spPr>
            <a:solidFill>
              <a:srgbClr val="92D050"/>
            </a:solidFill>
            <a:ln w="12700" cap="flat" cmpd="sng" algn="ctr">
              <a:solidFill>
                <a:schemeClr val="accent3">
                  <a:lumMod val="50000"/>
                </a:schemeClr>
              </a:solidFill>
              <a:prstDash val="solid"/>
              <a:miter lim="800000"/>
            </a:ln>
            <a:effectLst/>
          </c:spPr>
          <c:invertIfNegative val="0"/>
          <c:cat>
            <c:numRef>
              <c:f>'Hummus Town, growing stock'!$AF$67:$AZ$67</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stock'!$AF$89:$AZ$89</c:f>
              <c:numCache>
                <c:formatCode>_(* #,##0_);_(* \(#,##0\);_(* "-"??_);_(@_)</c:formatCode>
                <c:ptCount val="21"/>
                <c:pt idx="0">
                  <c:v>100</c:v>
                </c:pt>
                <c:pt idx="1">
                  <c:v>105</c:v>
                </c:pt>
                <c:pt idx="2">
                  <c:v>110.25</c:v>
                </c:pt>
                <c:pt idx="3">
                  <c:v>115.7625</c:v>
                </c:pt>
                <c:pt idx="4">
                  <c:v>121.55062500000001</c:v>
                </c:pt>
                <c:pt idx="5">
                  <c:v>127.62815625000002</c:v>
                </c:pt>
                <c:pt idx="6">
                  <c:v>134.00956406250003</c:v>
                </c:pt>
                <c:pt idx="7">
                  <c:v>140.71004226562508</c:v>
                </c:pt>
                <c:pt idx="8">
                  <c:v>147.74554437890632</c:v>
                </c:pt>
                <c:pt idx="9">
                  <c:v>155.13282159785166</c:v>
                </c:pt>
                <c:pt idx="10">
                  <c:v>162.88946267774423</c:v>
                </c:pt>
                <c:pt idx="11">
                  <c:v>171.03393581163147</c:v>
                </c:pt>
                <c:pt idx="12">
                  <c:v>179.58563260221302</c:v>
                </c:pt>
                <c:pt idx="13">
                  <c:v>188.5649142323237</c:v>
                </c:pt>
                <c:pt idx="14">
                  <c:v>197.99315994393993</c:v>
                </c:pt>
                <c:pt idx="15">
                  <c:v>207.89281794113691</c:v>
                </c:pt>
                <c:pt idx="16">
                  <c:v>218.28745883819377</c:v>
                </c:pt>
                <c:pt idx="17">
                  <c:v>229.20183178010348</c:v>
                </c:pt>
                <c:pt idx="18">
                  <c:v>240.66192336910862</c:v>
                </c:pt>
                <c:pt idx="19">
                  <c:v>252.69501953756406</c:v>
                </c:pt>
                <c:pt idx="20">
                  <c:v>265.32977051444232</c:v>
                </c:pt>
              </c:numCache>
            </c:numRef>
          </c:val>
          <c:extLst>
            <c:ext xmlns:c16="http://schemas.microsoft.com/office/drawing/2014/chart" uri="{C3380CC4-5D6E-409C-BE32-E72D297353CC}">
              <c16:uniqueId val="{00000001-2600-46D7-B828-4233624054B5}"/>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a:t>
            </a:r>
            <a:r>
              <a:rPr lang="en-US" baseline="0"/>
              <a:t>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growing stock'!$F$37:$F$57</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stock'!$D$37:$D$57</c:f>
              <c:numCache>
                <c:formatCode>_(* #,##0_);_(* \(#,##0\);_(* "-"??_);_(@_)</c:formatCode>
                <c:ptCount val="21"/>
                <c:pt idx="0">
                  <c:v>100</c:v>
                </c:pt>
                <c:pt idx="1">
                  <c:v>105</c:v>
                </c:pt>
                <c:pt idx="2">
                  <c:v>121.75470333499527</c:v>
                </c:pt>
                <c:pt idx="3">
                  <c:v>153.62733967693563</c:v>
                </c:pt>
                <c:pt idx="4">
                  <c:v>189.75567040480306</c:v>
                </c:pt>
                <c:pt idx="5">
                  <c:v>224.58673937107324</c:v>
                </c:pt>
                <c:pt idx="6">
                  <c:v>259.13857890934804</c:v>
                </c:pt>
                <c:pt idx="7">
                  <c:v>295.7386764714239</c:v>
                </c:pt>
                <c:pt idx="8">
                  <c:v>334.9596330149356</c:v>
                </c:pt>
                <c:pt idx="9">
                  <c:v>376.36709128909081</c:v>
                </c:pt>
                <c:pt idx="10">
                  <c:v>419.48760531159775</c:v>
                </c:pt>
                <c:pt idx="11">
                  <c:v>464.71401464758594</c:v>
                </c:pt>
                <c:pt idx="12">
                  <c:v>512.25054312039276</c:v>
                </c:pt>
                <c:pt idx="13">
                  <c:v>562.19935180930042</c:v>
                </c:pt>
                <c:pt idx="14">
                  <c:v>614.64085696475809</c:v>
                </c:pt>
                <c:pt idx="15">
                  <c:v>669.69039374925535</c:v>
                </c:pt>
                <c:pt idx="16">
                  <c:v>727.48882920431026</c:v>
                </c:pt>
                <c:pt idx="17">
                  <c:v>788.17952025754005</c:v>
                </c:pt>
                <c:pt idx="18">
                  <c:v>851.90544822950858</c:v>
                </c:pt>
                <c:pt idx="19">
                  <c:v>918.8158789252418</c:v>
                </c:pt>
                <c:pt idx="20">
                  <c:v>989.07024648435333</c:v>
                </c:pt>
              </c:numCache>
            </c:numRef>
          </c:val>
          <c:extLst>
            <c:ext xmlns:c16="http://schemas.microsoft.com/office/drawing/2014/chart" uri="{C3380CC4-5D6E-409C-BE32-E72D297353CC}">
              <c16:uniqueId val="{00000000-47AE-45AB-AA1E-B02FE5675232}"/>
            </c:ext>
          </c:extLst>
        </c:ser>
        <c:ser>
          <c:idx val="1"/>
          <c:order val="1"/>
          <c:tx>
            <c:v>Houses Built, Using Hummus Town Lifespan</c:v>
          </c:tx>
          <c:spPr>
            <a:solidFill>
              <a:srgbClr val="00B050"/>
            </a:solidFill>
            <a:ln>
              <a:noFill/>
            </a:ln>
            <a:effectLst/>
          </c:spPr>
          <c:invertIfNegative val="0"/>
          <c:cat>
            <c:numRef>
              <c:f>'Hummus Town, growing stock'!$F$68:$F$88</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stock'!$D$68:$D$88</c:f>
              <c:numCache>
                <c:formatCode>_(* #,##0_);_(* \(#,##0\);_(* "-"??_);_(@_)</c:formatCode>
                <c:ptCount val="21"/>
                <c:pt idx="0">
                  <c:v>100</c:v>
                </c:pt>
                <c:pt idx="1">
                  <c:v>105</c:v>
                </c:pt>
                <c:pt idx="2">
                  <c:v>110.25</c:v>
                </c:pt>
                <c:pt idx="3">
                  <c:v>115.7625</c:v>
                </c:pt>
                <c:pt idx="4">
                  <c:v>121.55062500000001</c:v>
                </c:pt>
                <c:pt idx="5">
                  <c:v>139.13285958499529</c:v>
                </c:pt>
                <c:pt idx="6">
                  <c:v>171.87440373943565</c:v>
                </c:pt>
                <c:pt idx="7">
                  <c:v>207.59150568216558</c:v>
                </c:pt>
                <c:pt idx="8">
                  <c:v>237.38141364144911</c:v>
                </c:pt>
                <c:pt idx="9">
                  <c:v>259.53117221511781</c:v>
                </c:pt>
                <c:pt idx="10">
                  <c:v>277.99695176439337</c:v>
                </c:pt>
                <c:pt idx="11">
                  <c:v>299.14237269065256</c:v>
                </c:pt>
                <c:pt idx="12">
                  <c:v>327.38903182216507</c:v>
                </c:pt>
                <c:pt idx="13">
                  <c:v>362.21216015668625</c:v>
                </c:pt>
                <c:pt idx="14">
                  <c:v>400.05494202479571</c:v>
                </c:pt>
                <c:pt idx="15">
                  <c:v>436.99965980270537</c:v>
                </c:pt>
                <c:pt idx="16">
                  <c:v>471.66828428691559</c:v>
                </c:pt>
                <c:pt idx="17">
                  <c:v>505.64311731193328</c:v>
                </c:pt>
                <c:pt idx="18">
                  <c:v>541.83038589303237</c:v>
                </c:pt>
                <c:pt idx="19">
                  <c:v>582.31712181246394</c:v>
                </c:pt>
                <c:pt idx="20">
                  <c:v>627.24097177141903</c:v>
                </c:pt>
              </c:numCache>
            </c:numRef>
          </c:val>
          <c:extLst>
            <c:ext xmlns:c16="http://schemas.microsoft.com/office/drawing/2014/chart" uri="{C3380CC4-5D6E-409C-BE32-E72D297353CC}">
              <c16:uniqueId val="{00000001-47AE-45AB-AA1E-B02FE5675232}"/>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not built</a:t>
            </a:r>
            <a:r>
              <a:rPr lang="en-US" baseline="0"/>
              <a:t> due to longer lifespan,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Houses Not Built, Using Hummus Town Lifespan</c:v>
          </c:tx>
          <c:spPr>
            <a:solidFill>
              <a:srgbClr val="00B050"/>
            </a:solidFill>
            <a:ln>
              <a:noFill/>
            </a:ln>
            <a:effectLst/>
          </c:spPr>
          <c:invertIfNegative val="0"/>
          <c:cat>
            <c:numRef>
              <c:f>'Hummus Town, growing stock'!$F$68:$F$88</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stock'!$B$68:$B$88</c:f>
              <c:numCache>
                <c:formatCode>_(* #,##0_);_(* \(#,##0\);_(* "-"??_);_(@_)</c:formatCode>
                <c:ptCount val="21"/>
                <c:pt idx="0">
                  <c:v>0</c:v>
                </c:pt>
                <c:pt idx="1">
                  <c:v>0</c:v>
                </c:pt>
                <c:pt idx="2">
                  <c:v>11.50470333499527</c:v>
                </c:pt>
                <c:pt idx="3">
                  <c:v>37.864839676935631</c:v>
                </c:pt>
                <c:pt idx="4">
                  <c:v>68.20504540480303</c:v>
                </c:pt>
                <c:pt idx="5">
                  <c:v>85.45387978607792</c:v>
                </c:pt>
                <c:pt idx="6">
                  <c:v>87.264175169912335</c:v>
                </c:pt>
                <c:pt idx="7">
                  <c:v>88.147170789258269</c:v>
                </c:pt>
                <c:pt idx="8">
                  <c:v>97.578219373486434</c:v>
                </c:pt>
                <c:pt idx="9">
                  <c:v>116.83591907397299</c:v>
                </c:pt>
                <c:pt idx="10">
                  <c:v>141.49065354720435</c:v>
                </c:pt>
                <c:pt idx="11">
                  <c:v>165.57164195693338</c:v>
                </c:pt>
                <c:pt idx="12">
                  <c:v>184.86151129822775</c:v>
                </c:pt>
                <c:pt idx="13">
                  <c:v>199.98719165261426</c:v>
                </c:pt>
                <c:pt idx="14">
                  <c:v>214.58591493996252</c:v>
                </c:pt>
                <c:pt idx="15">
                  <c:v>232.6907339465501</c:v>
                </c:pt>
                <c:pt idx="16">
                  <c:v>255.82054491739476</c:v>
                </c:pt>
                <c:pt idx="17">
                  <c:v>282.53640294560682</c:v>
                </c:pt>
                <c:pt idx="18">
                  <c:v>310.07506233647626</c:v>
                </c:pt>
                <c:pt idx="19">
                  <c:v>336.49875711277798</c:v>
                </c:pt>
                <c:pt idx="20">
                  <c:v>361.82927471293436</c:v>
                </c:pt>
              </c:numCache>
            </c:numRef>
          </c:val>
          <c:extLst>
            <c:ext xmlns:c16="http://schemas.microsoft.com/office/drawing/2014/chart" uri="{C3380CC4-5D6E-409C-BE32-E72D297353CC}">
              <c16:uniqueId val="{00000000-6F17-4E53-9BD1-8F4E938FECF5}"/>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Not 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Demolished</a:t>
            </a:r>
            <a:r>
              <a:rPr lang="en-US" baseline="0"/>
              <a:t> (and Rebuilt)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growing stock'!$G$34</c:f>
              <c:strCache>
                <c:ptCount val="1"/>
                <c:pt idx="0">
                  <c:v>Hummus Town House Demolitions, Using Candy Town Lifespan Distribution</c:v>
                </c:pt>
              </c:strCache>
            </c:strRef>
          </c:tx>
          <c:spPr>
            <a:solidFill>
              <a:schemeClr val="accent6"/>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stock'!$G$58:$AA$58</c:f>
              <c:numCache>
                <c:formatCode>_(* #,##0_);_(* \(#,##0\);_(* "-"??_);_(@_)</c:formatCode>
                <c:ptCount val="21"/>
                <c:pt idx="0">
                  <c:v>0</c:v>
                </c:pt>
                <c:pt idx="1">
                  <c:v>0</c:v>
                </c:pt>
                <c:pt idx="2">
                  <c:v>11.504703334995268</c:v>
                </c:pt>
                <c:pt idx="3">
                  <c:v>26.360136341940358</c:v>
                </c:pt>
                <c:pt idx="4">
                  <c:v>30.340205727867406</c:v>
                </c:pt>
                <c:pt idx="5">
                  <c:v>28.753537716270159</c:v>
                </c:pt>
                <c:pt idx="6">
                  <c:v>28.170431725774776</c:v>
                </c:pt>
                <c:pt idx="7">
                  <c:v>29.899619358950837</c:v>
                </c:pt>
                <c:pt idx="8">
                  <c:v>32.185454430230429</c:v>
                </c:pt>
                <c:pt idx="9">
                  <c:v>34.020181055209918</c:v>
                </c:pt>
                <c:pt idx="10">
                  <c:v>35.363872942614357</c:v>
                </c:pt>
                <c:pt idx="11">
                  <c:v>37.081936202100991</c:v>
                </c:pt>
                <c:pt idx="12">
                  <c:v>38.984831682225284</c:v>
                </c:pt>
                <c:pt idx="13">
                  <c:v>40.969527058797055</c:v>
                </c:pt>
                <c:pt idx="14">
                  <c:v>43.013259443841513</c:v>
                </c:pt>
                <c:pt idx="15">
                  <c:v>45.149878787300231</c:v>
                </c:pt>
                <c:pt idx="16">
                  <c:v>47.40379455799804</c:v>
                </c:pt>
                <c:pt idx="17">
                  <c:v>49.776318111320059</c:v>
                </c:pt>
                <c:pt idx="18">
                  <c:v>52.265836382963322</c:v>
                </c:pt>
                <c:pt idx="19">
                  <c:v>54.87733452727781</c:v>
                </c:pt>
                <c:pt idx="20">
                  <c:v>57.619616582233306</c:v>
                </c:pt>
              </c:numCache>
            </c:numRef>
          </c:val>
          <c:extLst>
            <c:ext xmlns:c16="http://schemas.microsoft.com/office/drawing/2014/chart" uri="{C3380CC4-5D6E-409C-BE32-E72D297353CC}">
              <c16:uniqueId val="{00000000-6ADE-459A-910E-35048B47C056}"/>
            </c:ext>
          </c:extLst>
        </c:ser>
        <c:ser>
          <c:idx val="1"/>
          <c:order val="1"/>
          <c:tx>
            <c:strRef>
              <c:f>'Hummus Town, growing stock'!$G$65</c:f>
              <c:strCache>
                <c:ptCount val="1"/>
                <c:pt idx="0">
                  <c:v>Hummus Town House Demolitions, Using Hummus Town Lifespan Distribution</c:v>
                </c:pt>
              </c:strCache>
            </c:strRef>
          </c:tx>
          <c:spPr>
            <a:solidFill>
              <a:srgbClr val="00B050"/>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stock'!$G$89:$AA$89</c:f>
              <c:numCache>
                <c:formatCode>_(* #,##0_);_(* \(#,##0\);_(* "-"??_);_(@_)</c:formatCode>
                <c:ptCount val="21"/>
                <c:pt idx="0">
                  <c:v>0</c:v>
                </c:pt>
                <c:pt idx="1">
                  <c:v>0</c:v>
                </c:pt>
                <c:pt idx="2">
                  <c:v>0</c:v>
                </c:pt>
                <c:pt idx="3">
                  <c:v>0</c:v>
                </c:pt>
                <c:pt idx="4">
                  <c:v>0</c:v>
                </c:pt>
                <c:pt idx="5">
                  <c:v>11.504703334995268</c:v>
                </c:pt>
                <c:pt idx="6">
                  <c:v>26.360136341940358</c:v>
                </c:pt>
                <c:pt idx="7">
                  <c:v>29.016623739604896</c:v>
                </c:pt>
                <c:pt idx="8">
                  <c:v>22.75440584600226</c:v>
                </c:pt>
                <c:pt idx="9">
                  <c:v>14.762481354723361</c:v>
                </c:pt>
                <c:pt idx="10">
                  <c:v>10.709138469382991</c:v>
                </c:pt>
                <c:pt idx="11">
                  <c:v>13.000947792371957</c:v>
                </c:pt>
                <c:pt idx="12">
                  <c:v>19.694962340930921</c:v>
                </c:pt>
                <c:pt idx="13">
                  <c:v>25.843846704410549</c:v>
                </c:pt>
                <c:pt idx="14">
                  <c:v>28.414536156493238</c:v>
                </c:pt>
                <c:pt idx="15">
                  <c:v>27.045059780712641</c:v>
                </c:pt>
                <c:pt idx="16">
                  <c:v>24.273983587153388</c:v>
                </c:pt>
                <c:pt idx="17">
                  <c:v>23.060460083108001</c:v>
                </c:pt>
                <c:pt idx="18">
                  <c:v>24.727176992093888</c:v>
                </c:pt>
                <c:pt idx="19">
                  <c:v>28.453639750976102</c:v>
                </c:pt>
                <c:pt idx="20">
                  <c:v>32.289098982076929</c:v>
                </c:pt>
              </c:numCache>
            </c:numRef>
          </c:val>
          <c:extLst>
            <c:ext xmlns:c16="http://schemas.microsoft.com/office/drawing/2014/chart" uri="{C3380CC4-5D6E-409C-BE32-E72D297353CC}">
              <c16:uniqueId val="{00000001-6ADE-459A-910E-35048B47C056}"/>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Demolished</a:t>
                </a:r>
              </a:p>
            </c:rich>
          </c:tx>
          <c:layout>
            <c:manualLayout>
              <c:xMode val="edge"/>
              <c:yMode val="edge"/>
              <c:x val="2.2451918057726731E-2"/>
              <c:y val="0.160779306792258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Demolished</a:t>
            </a:r>
            <a:r>
              <a:rPr lang="en-US" baseline="0"/>
              <a:t> (and Rebuilt),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growing stock'!$G$34</c:f>
              <c:strCache>
                <c:ptCount val="1"/>
                <c:pt idx="0">
                  <c:v>Hummus Town House Demolitions, Using Candy Town Lifespan Distribution</c:v>
                </c:pt>
              </c:strCache>
            </c:strRef>
          </c:tx>
          <c:spPr>
            <a:solidFill>
              <a:schemeClr val="accent6"/>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stock'!$G$59:$AA$59</c:f>
              <c:numCache>
                <c:formatCode>_(* #,##0_);_(* \(#,##0\);_(* "-"??_);_(@_)</c:formatCode>
                <c:ptCount val="21"/>
                <c:pt idx="0">
                  <c:v>0</c:v>
                </c:pt>
                <c:pt idx="1">
                  <c:v>0</c:v>
                </c:pt>
                <c:pt idx="2">
                  <c:v>11.504703334995268</c:v>
                </c:pt>
                <c:pt idx="3">
                  <c:v>37.864839676935624</c:v>
                </c:pt>
                <c:pt idx="4">
                  <c:v>68.20504540480303</c:v>
                </c:pt>
                <c:pt idx="5">
                  <c:v>96.95858312107319</c:v>
                </c:pt>
                <c:pt idx="6">
                  <c:v>125.12901484684797</c:v>
                </c:pt>
                <c:pt idx="7">
                  <c:v>155.0286342057988</c:v>
                </c:pt>
                <c:pt idx="8">
                  <c:v>187.21408863602923</c:v>
                </c:pt>
                <c:pt idx="9">
                  <c:v>221.23426969123915</c:v>
                </c:pt>
                <c:pt idx="10">
                  <c:v>256.59814263385351</c:v>
                </c:pt>
                <c:pt idx="11">
                  <c:v>293.68007883595453</c:v>
                </c:pt>
                <c:pt idx="12">
                  <c:v>332.66491051817979</c:v>
                </c:pt>
                <c:pt idx="13">
                  <c:v>373.63443757697684</c:v>
                </c:pt>
                <c:pt idx="14">
                  <c:v>416.64769702081833</c:v>
                </c:pt>
                <c:pt idx="15">
                  <c:v>461.79757580811855</c:v>
                </c:pt>
                <c:pt idx="16">
                  <c:v>509.20137036611658</c:v>
                </c:pt>
                <c:pt idx="17">
                  <c:v>558.97768847743669</c:v>
                </c:pt>
                <c:pt idx="18">
                  <c:v>611.24352486040004</c:v>
                </c:pt>
                <c:pt idx="19">
                  <c:v>666.12085938767791</c:v>
                </c:pt>
                <c:pt idx="20">
                  <c:v>723.74047596991124</c:v>
                </c:pt>
              </c:numCache>
            </c:numRef>
          </c:val>
          <c:extLst>
            <c:ext xmlns:c16="http://schemas.microsoft.com/office/drawing/2014/chart" uri="{C3380CC4-5D6E-409C-BE32-E72D297353CC}">
              <c16:uniqueId val="{00000000-DAF6-4237-9EB8-DFF0C524266E}"/>
            </c:ext>
          </c:extLst>
        </c:ser>
        <c:ser>
          <c:idx val="1"/>
          <c:order val="1"/>
          <c:tx>
            <c:strRef>
              <c:f>'Hummus Town, growing stock'!$G$65</c:f>
              <c:strCache>
                <c:ptCount val="1"/>
                <c:pt idx="0">
                  <c:v>Hummus Town House Demolitions, Using Hummus Town Lifespan Distribution</c:v>
                </c:pt>
              </c:strCache>
            </c:strRef>
          </c:tx>
          <c:spPr>
            <a:solidFill>
              <a:srgbClr val="00B050"/>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stock'!$G$90:$AA$90</c:f>
              <c:numCache>
                <c:formatCode>_(* #,##0_);_(* \(#,##0\);_(* "-"??_);_(@_)</c:formatCode>
                <c:ptCount val="21"/>
                <c:pt idx="0">
                  <c:v>0</c:v>
                </c:pt>
                <c:pt idx="1">
                  <c:v>0</c:v>
                </c:pt>
                <c:pt idx="2">
                  <c:v>0</c:v>
                </c:pt>
                <c:pt idx="3">
                  <c:v>0</c:v>
                </c:pt>
                <c:pt idx="4">
                  <c:v>0</c:v>
                </c:pt>
                <c:pt idx="5">
                  <c:v>11.504703334995268</c:v>
                </c:pt>
                <c:pt idx="6">
                  <c:v>37.864839676935624</c:v>
                </c:pt>
                <c:pt idx="7">
                  <c:v>66.881463416540527</c:v>
                </c:pt>
                <c:pt idx="8">
                  <c:v>89.635869262542784</c:v>
                </c:pt>
                <c:pt idx="9">
                  <c:v>104.39835061726615</c:v>
                </c:pt>
                <c:pt idx="10">
                  <c:v>115.10748908664914</c:v>
                </c:pt>
                <c:pt idx="11">
                  <c:v>128.1084368790211</c:v>
                </c:pt>
                <c:pt idx="12">
                  <c:v>147.80339921995201</c:v>
                </c:pt>
                <c:pt idx="13">
                  <c:v>173.64724592436255</c:v>
                </c:pt>
                <c:pt idx="14">
                  <c:v>202.06178208085578</c:v>
                </c:pt>
                <c:pt idx="15">
                  <c:v>229.10684186156843</c:v>
                </c:pt>
                <c:pt idx="16">
                  <c:v>253.38082544872182</c:v>
                </c:pt>
                <c:pt idx="17">
                  <c:v>276.44128553182981</c:v>
                </c:pt>
                <c:pt idx="18">
                  <c:v>301.16846252392372</c:v>
                </c:pt>
                <c:pt idx="19">
                  <c:v>329.62210227489982</c:v>
                </c:pt>
                <c:pt idx="20">
                  <c:v>361.91120125697677</c:v>
                </c:pt>
              </c:numCache>
            </c:numRef>
          </c:val>
          <c:extLst>
            <c:ext xmlns:c16="http://schemas.microsoft.com/office/drawing/2014/chart" uri="{C3380CC4-5D6E-409C-BE32-E72D297353CC}">
              <c16:uniqueId val="{00000001-DAF6-4237-9EB8-DFF0C524266E}"/>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Demolished</a:t>
                </a:r>
              </a:p>
            </c:rich>
          </c:tx>
          <c:layout>
            <c:manualLayout>
              <c:xMode val="edge"/>
              <c:yMode val="edge"/>
              <c:x val="2.2451918057726731E-2"/>
              <c:y val="0.160779306792258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Distribution (Years</a:t>
            </a:r>
            <a:r>
              <a:rPr lang="en-US" baseline="0"/>
              <a:t> until Demolition)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constant stock'!$E$3</c:f>
              <c:strCache>
                <c:ptCount val="1"/>
                <c:pt idx="0">
                  <c:v>Candy Town Lifespan Distribution</c:v>
                </c:pt>
              </c:strCache>
            </c:strRef>
          </c:tx>
          <c:spPr>
            <a:ln w="19050" cap="rnd">
              <a:solidFill>
                <a:schemeClr val="accent6"/>
              </a:solidFill>
              <a:round/>
            </a:ln>
            <a:effectLst/>
          </c:spPr>
          <c:marker>
            <c:symbol val="circle"/>
            <c:size val="5"/>
            <c:spPr>
              <a:solidFill>
                <a:schemeClr val="accent1"/>
              </a:solidFill>
              <a:ln w="9525">
                <a:solidFill>
                  <a:schemeClr val="accent6"/>
                </a:solidFill>
              </a:ln>
              <a:effectLst/>
            </c:spPr>
          </c:marker>
          <c:xVal>
            <c:numRef>
              <c:f>'Hummus Town, constant stock'!$F$4:$O$4</c:f>
              <c:numCache>
                <c:formatCode>General</c:formatCode>
                <c:ptCount val="10"/>
                <c:pt idx="0">
                  <c:v>0</c:v>
                </c:pt>
                <c:pt idx="1">
                  <c:v>10</c:v>
                </c:pt>
                <c:pt idx="2">
                  <c:v>20</c:v>
                </c:pt>
                <c:pt idx="3">
                  <c:v>30</c:v>
                </c:pt>
                <c:pt idx="4">
                  <c:v>40</c:v>
                </c:pt>
                <c:pt idx="5">
                  <c:v>50</c:v>
                </c:pt>
                <c:pt idx="6">
                  <c:v>60</c:v>
                </c:pt>
                <c:pt idx="7">
                  <c:v>70</c:v>
                </c:pt>
                <c:pt idx="8">
                  <c:v>80</c:v>
                </c:pt>
                <c:pt idx="9">
                  <c:v>90</c:v>
                </c:pt>
              </c:numCache>
            </c:numRef>
          </c:xVal>
          <c:yVal>
            <c:numRef>
              <c:f>'Hummus Town, constant stock'!$F$5:$O$5</c:f>
              <c:numCache>
                <c:formatCode>0.0%</c:formatCode>
                <c:ptCount val="10"/>
                <c:pt idx="0">
                  <c:v>0</c:v>
                </c:pt>
                <c:pt idx="1">
                  <c:v>0</c:v>
                </c:pt>
                <c:pt idx="2">
                  <c:v>0.11504703334995268</c:v>
                </c:pt>
                <c:pt idx="3">
                  <c:v>0.25784901175190594</c:v>
                </c:pt>
                <c:pt idx="4">
                  <c:v>0.27123381755758114</c:v>
                </c:pt>
                <c:pt idx="5">
                  <c:v>0.19410332675175238</c:v>
                </c:pt>
                <c:pt idx="6">
                  <c:v>0.1028068789159622</c:v>
                </c:pt>
                <c:pt idx="7">
                  <c:v>4.1656389502571667E-2</c:v>
                </c:pt>
                <c:pt idx="8">
                  <c:v>1.3126205671847179E-2</c:v>
                </c:pt>
                <c:pt idx="9">
                  <c:v>4.0000000000000001E-3</c:v>
                </c:pt>
              </c:numCache>
            </c:numRef>
          </c:yVal>
          <c:smooth val="0"/>
          <c:extLst>
            <c:ext xmlns:c16="http://schemas.microsoft.com/office/drawing/2014/chart" uri="{C3380CC4-5D6E-409C-BE32-E72D297353CC}">
              <c16:uniqueId val="{00000000-EFCB-470C-8850-E7F6B03E6F2B}"/>
            </c:ext>
          </c:extLst>
        </c:ser>
        <c:ser>
          <c:idx val="1"/>
          <c:order val="1"/>
          <c:tx>
            <c:strRef>
              <c:f>'Hummus Town, constant stock'!$E$8</c:f>
              <c:strCache>
                <c:ptCount val="1"/>
                <c:pt idx="0">
                  <c:v>Hummus Town Longer Lifespan Distribution</c:v>
                </c:pt>
              </c:strCache>
            </c:strRef>
          </c:tx>
          <c:spPr>
            <a:ln w="19050" cap="rnd">
              <a:solidFill>
                <a:schemeClr val="accent3">
                  <a:lumMod val="50000"/>
                </a:schemeClr>
              </a:solidFill>
              <a:round/>
            </a:ln>
            <a:effectLst/>
          </c:spPr>
          <c:marker>
            <c:symbol val="circle"/>
            <c:size val="5"/>
            <c:spPr>
              <a:solidFill>
                <a:schemeClr val="accent2"/>
              </a:solidFill>
              <a:ln w="9525">
                <a:solidFill>
                  <a:schemeClr val="accent3">
                    <a:lumMod val="50000"/>
                  </a:schemeClr>
                </a:solidFill>
              </a:ln>
              <a:effectLst/>
            </c:spPr>
          </c:marker>
          <c:xVal>
            <c:numRef>
              <c:f>'Hummus Town, constant stock'!$F$9:$Z$9</c:f>
              <c:numCache>
                <c:formatCode>General</c:formatCode>
                <c:ptCount val="2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numCache>
            </c:numRef>
          </c:xVal>
          <c:yVal>
            <c:numRef>
              <c:f>'Hummus Town, constant stock'!$F$10:$Z$10</c:f>
              <c:numCache>
                <c:formatCode>0.0%</c:formatCode>
                <c:ptCount val="21"/>
                <c:pt idx="0">
                  <c:v>0</c:v>
                </c:pt>
                <c:pt idx="1">
                  <c:v>0</c:v>
                </c:pt>
                <c:pt idx="2">
                  <c:v>0</c:v>
                </c:pt>
                <c:pt idx="3">
                  <c:v>0</c:v>
                </c:pt>
                <c:pt idx="4">
                  <c:v>0</c:v>
                </c:pt>
                <c:pt idx="5">
                  <c:v>0</c:v>
                </c:pt>
                <c:pt idx="6">
                  <c:v>0.11504703334995268</c:v>
                </c:pt>
                <c:pt idx="7">
                  <c:v>0.25784901175190594</c:v>
                </c:pt>
                <c:pt idx="8">
                  <c:v>0.27123381755758114</c:v>
                </c:pt>
                <c:pt idx="9">
                  <c:v>0.19410332675175238</c:v>
                </c:pt>
                <c:pt idx="10">
                  <c:v>0.1028068789159622</c:v>
                </c:pt>
                <c:pt idx="11">
                  <c:v>4.1656389502571667E-2</c:v>
                </c:pt>
                <c:pt idx="12">
                  <c:v>1.3126205671847179E-2</c:v>
                </c:pt>
                <c:pt idx="13">
                  <c:v>4.0000000000000001E-3</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EFCB-470C-8850-E7F6B03E6F2B}"/>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constant stock'!$F$34:$F$54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stock'!$E$34:$E$54</c:f>
              <c:numCache>
                <c:formatCode>_(* #,##0_);_(* \(#,##0\);_(* "-"??_);_(@_)</c:formatCode>
                <c:ptCount val="21"/>
                <c:pt idx="0">
                  <c:v>1000</c:v>
                </c:pt>
                <c:pt idx="1">
                  <c:v>0</c:v>
                </c:pt>
                <c:pt idx="2">
                  <c:v>115.04703334995268</c:v>
                </c:pt>
                <c:pt idx="3">
                  <c:v>257.84901175190595</c:v>
                </c:pt>
                <c:pt idx="4">
                  <c:v>284.46963744020627</c:v>
                </c:pt>
                <c:pt idx="5">
                  <c:v>253.43285446030012</c:v>
                </c:pt>
                <c:pt idx="6">
                  <c:v>233.22502569721109</c:v>
                </c:pt>
                <c:pt idx="7">
                  <c:v>236.43168616608435</c:v>
                </c:pt>
                <c:pt idx="8">
                  <c:v>244.34022719940486</c:v>
                </c:pt>
                <c:pt idx="9">
                  <c:v>246.59476623408443</c:v>
                </c:pt>
                <c:pt idx="10">
                  <c:v>243.02159458052387</c:v>
                </c:pt>
                <c:pt idx="11">
                  <c:v>242.52029070408301</c:v>
                </c:pt>
                <c:pt idx="12">
                  <c:v>243.00827740427542</c:v>
                </c:pt>
                <c:pt idx="13">
                  <c:v>243.36281532888057</c:v>
                </c:pt>
                <c:pt idx="14">
                  <c:v>243.31537564992644</c:v>
                </c:pt>
                <c:pt idx="15">
                  <c:v>243.17493936259291</c:v>
                </c:pt>
                <c:pt idx="16">
                  <c:v>243.13915767592087</c:v>
                </c:pt>
                <c:pt idx="17">
                  <c:v>243.16249593014194</c:v>
                </c:pt>
                <c:pt idx="18">
                  <c:v>243.16951959091449</c:v>
                </c:pt>
                <c:pt idx="19">
                  <c:v>243.15158284257768</c:v>
                </c:pt>
                <c:pt idx="20">
                  <c:v>243.1357361284937</c:v>
                </c:pt>
              </c:numCache>
            </c:numRef>
          </c:val>
          <c:extLst>
            <c:ext xmlns:c16="http://schemas.microsoft.com/office/drawing/2014/chart" uri="{C3380CC4-5D6E-409C-BE32-E72D297353CC}">
              <c16:uniqueId val="{00000000-FFB6-4425-A5C5-132885971DD6}"/>
            </c:ext>
          </c:extLst>
        </c:ser>
        <c:ser>
          <c:idx val="1"/>
          <c:order val="1"/>
          <c:tx>
            <c:v>Houses Built, Using Hummus Town Lifespan</c:v>
          </c:tx>
          <c:spPr>
            <a:solidFill>
              <a:srgbClr val="00B050"/>
            </a:solidFill>
            <a:ln>
              <a:noFill/>
            </a:ln>
            <a:effectLst/>
          </c:spPr>
          <c:invertIfNegative val="0"/>
          <c:cat>
            <c:numRef>
              <c:f>'Hummus Town, constant stock'!$F$65:$F$85</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stock'!$E$65:$E$85</c:f>
              <c:numCache>
                <c:formatCode>_(* #,##0_);_(* \(#,##0\);_(* "-"??_);_(@_)</c:formatCode>
                <c:ptCount val="21"/>
                <c:pt idx="0">
                  <c:v>1000</c:v>
                </c:pt>
                <c:pt idx="1">
                  <c:v>0</c:v>
                </c:pt>
                <c:pt idx="2">
                  <c:v>0</c:v>
                </c:pt>
                <c:pt idx="3">
                  <c:v>0</c:v>
                </c:pt>
                <c:pt idx="4">
                  <c:v>0</c:v>
                </c:pt>
                <c:pt idx="5">
                  <c:v>0</c:v>
                </c:pt>
                <c:pt idx="6">
                  <c:v>115.04703334995268</c:v>
                </c:pt>
                <c:pt idx="7">
                  <c:v>257.84901175190595</c:v>
                </c:pt>
                <c:pt idx="8">
                  <c:v>271.23381755758112</c:v>
                </c:pt>
                <c:pt idx="9">
                  <c:v>194.10332675175238</c:v>
                </c:pt>
                <c:pt idx="10">
                  <c:v>102.8068789159622</c:v>
                </c:pt>
                <c:pt idx="11">
                  <c:v>41.65638950257167</c:v>
                </c:pt>
                <c:pt idx="12">
                  <c:v>26.362025554472304</c:v>
                </c:pt>
                <c:pt idx="13">
                  <c:v>63.32952770854773</c:v>
                </c:pt>
                <c:pt idx="14">
                  <c:v>128.89540496979856</c:v>
                </c:pt>
                <c:pt idx="15">
                  <c:v>184.53676743412933</c:v>
                </c:pt>
                <c:pt idx="16">
                  <c:v>197.32173860275097</c:v>
                </c:pt>
                <c:pt idx="17">
                  <c:v>167.89696495524814</c:v>
                </c:pt>
                <c:pt idx="18">
                  <c:v>119.47062752281656</c:v>
                </c:pt>
                <c:pt idx="19">
                  <c:v>80.435621339260905</c:v>
                </c:pt>
                <c:pt idx="20">
                  <c:v>69.640971757971968</c:v>
                </c:pt>
              </c:numCache>
            </c:numRef>
          </c:val>
          <c:extLst>
            <c:ext xmlns:c16="http://schemas.microsoft.com/office/drawing/2014/chart" uri="{C3380CC4-5D6E-409C-BE32-E72D297353CC}">
              <c16:uniqueId val="{00000001-FFB6-4425-A5C5-132885971DD6}"/>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5027613879719701E-2"/>
              <c:y val="0.26802054419456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constant stock'!$AF$31</c:f>
              <c:strCache>
                <c:ptCount val="1"/>
                <c:pt idx="0">
                  <c:v>Hummus Town House Stock, Using Candy Town Lifespan Distribution</c:v>
                </c:pt>
              </c:strCache>
            </c:strRef>
          </c:tx>
          <c:spPr>
            <a:solidFill>
              <a:schemeClr val="accent6"/>
            </a:solidFill>
            <a:ln w="12700" cap="flat" cmpd="sng" algn="ctr">
              <a:solidFill>
                <a:schemeClr val="accent6"/>
              </a:solidFill>
              <a:prstDash val="solid"/>
              <a:miter lim="800000"/>
            </a:ln>
            <a:effectLst/>
          </c:spPr>
          <c:invertIfNegative val="0"/>
          <c:cat>
            <c:numRef>
              <c:f>'Hummus Town, constant stock'!$AF$33:$AZ$33</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stock'!$AF$55:$AZ$55</c:f>
              <c:numCache>
                <c:formatCode>_(* #,##0_);_(* \(#,##0\);_(* "-"??_);_(@_)</c:formatCode>
                <c:ptCount val="21"/>
                <c:pt idx="0">
                  <c:v>1000</c:v>
                </c:pt>
                <c:pt idx="1">
                  <c:v>1000</c:v>
                </c:pt>
                <c:pt idx="2">
                  <c:v>1000</c:v>
                </c:pt>
                <c:pt idx="3">
                  <c:v>1000</c:v>
                </c:pt>
                <c:pt idx="4">
                  <c:v>1000</c:v>
                </c:pt>
                <c:pt idx="5">
                  <c:v>1000</c:v>
                </c:pt>
                <c:pt idx="6">
                  <c:v>1000</c:v>
                </c:pt>
                <c:pt idx="7">
                  <c:v>1000</c:v>
                </c:pt>
                <c:pt idx="8">
                  <c:v>1000</c:v>
                </c:pt>
                <c:pt idx="9">
                  <c:v>1000.0000000000001</c:v>
                </c:pt>
                <c:pt idx="10">
                  <c:v>1000</c:v>
                </c:pt>
                <c:pt idx="11">
                  <c:v>1000</c:v>
                </c:pt>
                <c:pt idx="12">
                  <c:v>1000.0000000000001</c:v>
                </c:pt>
                <c:pt idx="13">
                  <c:v>1000.0000000000002</c:v>
                </c:pt>
                <c:pt idx="14">
                  <c:v>1000</c:v>
                </c:pt>
                <c:pt idx="15">
                  <c:v>1000.0000000000001</c:v>
                </c:pt>
                <c:pt idx="16">
                  <c:v>1000.0000000000001</c:v>
                </c:pt>
                <c:pt idx="17">
                  <c:v>1000.0000000000001</c:v>
                </c:pt>
                <c:pt idx="18">
                  <c:v>1000.0000000000002</c:v>
                </c:pt>
                <c:pt idx="19">
                  <c:v>1000</c:v>
                </c:pt>
                <c:pt idx="20">
                  <c:v>1000.0000000000001</c:v>
                </c:pt>
              </c:numCache>
            </c:numRef>
          </c:val>
          <c:extLst>
            <c:ext xmlns:c16="http://schemas.microsoft.com/office/drawing/2014/chart" uri="{C3380CC4-5D6E-409C-BE32-E72D297353CC}">
              <c16:uniqueId val="{00000000-53CD-4858-BD2E-D55E85D58F01}"/>
            </c:ext>
          </c:extLst>
        </c:ser>
        <c:ser>
          <c:idx val="1"/>
          <c:order val="1"/>
          <c:tx>
            <c:strRef>
              <c:f>'Hummus Town, constant stock'!$AF$62</c:f>
              <c:strCache>
                <c:ptCount val="1"/>
                <c:pt idx="0">
                  <c:v>Hummus Town House Stock, Using Candy Town Lifespan Distribution</c:v>
                </c:pt>
              </c:strCache>
            </c:strRef>
          </c:tx>
          <c:spPr>
            <a:solidFill>
              <a:srgbClr val="92D050"/>
            </a:solidFill>
            <a:ln w="12700" cap="flat" cmpd="sng" algn="ctr">
              <a:solidFill>
                <a:schemeClr val="accent3">
                  <a:lumMod val="50000"/>
                </a:schemeClr>
              </a:solidFill>
              <a:prstDash val="solid"/>
              <a:miter lim="800000"/>
            </a:ln>
            <a:effectLst/>
          </c:spPr>
          <c:invertIfNegative val="0"/>
          <c:cat>
            <c:numRef>
              <c:f>'Hummus Town, constant stock'!$AF$64:$AZ$64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stock'!$AF$86:$AZ$86</c:f>
              <c:numCache>
                <c:formatCode>_(* #,##0_);_(* \(#,##0\);_(* "-"??_);_(@_)</c:formatCode>
                <c:ptCount val="21"/>
                <c:pt idx="0">
                  <c:v>1000</c:v>
                </c:pt>
                <c:pt idx="1">
                  <c:v>1000</c:v>
                </c:pt>
                <c:pt idx="2">
                  <c:v>1000</c:v>
                </c:pt>
                <c:pt idx="3">
                  <c:v>1000</c:v>
                </c:pt>
                <c:pt idx="4">
                  <c:v>1000</c:v>
                </c:pt>
                <c:pt idx="5">
                  <c:v>1000</c:v>
                </c:pt>
                <c:pt idx="6">
                  <c:v>1000</c:v>
                </c:pt>
                <c:pt idx="7">
                  <c:v>1000</c:v>
                </c:pt>
                <c:pt idx="8">
                  <c:v>999.99999999999989</c:v>
                </c:pt>
                <c:pt idx="9">
                  <c:v>1000</c:v>
                </c:pt>
                <c:pt idx="10">
                  <c:v>1000</c:v>
                </c:pt>
                <c:pt idx="11">
                  <c:v>999.99999999999989</c:v>
                </c:pt>
                <c:pt idx="12">
                  <c:v>1000</c:v>
                </c:pt>
                <c:pt idx="13">
                  <c:v>999.99999999999989</c:v>
                </c:pt>
                <c:pt idx="14">
                  <c:v>1000</c:v>
                </c:pt>
                <c:pt idx="15">
                  <c:v>1000</c:v>
                </c:pt>
                <c:pt idx="16">
                  <c:v>1000.0000000000001</c:v>
                </c:pt>
                <c:pt idx="17">
                  <c:v>1000</c:v>
                </c:pt>
                <c:pt idx="18">
                  <c:v>1000</c:v>
                </c:pt>
                <c:pt idx="19">
                  <c:v>1000</c:v>
                </c:pt>
                <c:pt idx="20">
                  <c:v>1000.0000000000001</c:v>
                </c:pt>
              </c:numCache>
            </c:numRef>
          </c:val>
          <c:extLst>
            <c:ext xmlns:c16="http://schemas.microsoft.com/office/drawing/2014/chart" uri="{C3380CC4-5D6E-409C-BE32-E72D297353CC}">
              <c16:uniqueId val="{00000001-53CD-4858-BD2E-D55E85D58F01}"/>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a:t>
            </a:r>
            <a:r>
              <a:rPr lang="en-US" baseline="0"/>
              <a:t>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constant stock'!$F$34:$F$54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stock'!$D$34:$D$54</c:f>
              <c:numCache>
                <c:formatCode>_(* #,##0_);_(* \(#,##0\);_(* "-"??_);_(@_)</c:formatCode>
                <c:ptCount val="21"/>
                <c:pt idx="0">
                  <c:v>1000</c:v>
                </c:pt>
                <c:pt idx="1">
                  <c:v>1000</c:v>
                </c:pt>
                <c:pt idx="2">
                  <c:v>1115.0470333499527</c:v>
                </c:pt>
                <c:pt idx="3">
                  <c:v>1372.8960451018586</c:v>
                </c:pt>
                <c:pt idx="4">
                  <c:v>1657.3656825420649</c:v>
                </c:pt>
                <c:pt idx="5">
                  <c:v>1910.798537002365</c:v>
                </c:pt>
                <c:pt idx="6">
                  <c:v>2144.0235626995764</c:v>
                </c:pt>
                <c:pt idx="7">
                  <c:v>2380.4552488656609</c:v>
                </c:pt>
                <c:pt idx="8">
                  <c:v>2624.7954760650659</c:v>
                </c:pt>
                <c:pt idx="9">
                  <c:v>2871.3902422991505</c:v>
                </c:pt>
                <c:pt idx="10">
                  <c:v>3114.4118368796744</c:v>
                </c:pt>
                <c:pt idx="11">
                  <c:v>3356.9321275837574</c:v>
                </c:pt>
                <c:pt idx="12">
                  <c:v>3599.9404049880327</c:v>
                </c:pt>
                <c:pt idx="13">
                  <c:v>3843.3032203169132</c:v>
                </c:pt>
                <c:pt idx="14">
                  <c:v>4086.6185959668396</c:v>
                </c:pt>
                <c:pt idx="15">
                  <c:v>4329.7935353294324</c:v>
                </c:pt>
                <c:pt idx="16">
                  <c:v>4572.932693005353</c:v>
                </c:pt>
                <c:pt idx="17">
                  <c:v>4816.0951889354947</c:v>
                </c:pt>
                <c:pt idx="18">
                  <c:v>5059.2647085264089</c:v>
                </c:pt>
                <c:pt idx="19">
                  <c:v>5302.416291368987</c:v>
                </c:pt>
                <c:pt idx="20">
                  <c:v>5545.5520274974806</c:v>
                </c:pt>
              </c:numCache>
            </c:numRef>
          </c:val>
          <c:extLst>
            <c:ext xmlns:c16="http://schemas.microsoft.com/office/drawing/2014/chart" uri="{C3380CC4-5D6E-409C-BE32-E72D297353CC}">
              <c16:uniqueId val="{00000000-3F62-49C0-8C99-AC58C5AA3FA8}"/>
            </c:ext>
          </c:extLst>
        </c:ser>
        <c:ser>
          <c:idx val="1"/>
          <c:order val="1"/>
          <c:tx>
            <c:v>Houses Built, Using Hummus Town Lifespan</c:v>
          </c:tx>
          <c:spPr>
            <a:solidFill>
              <a:srgbClr val="00B050"/>
            </a:solidFill>
            <a:ln>
              <a:noFill/>
            </a:ln>
            <a:effectLst/>
          </c:spPr>
          <c:invertIfNegative val="0"/>
          <c:cat>
            <c:numRef>
              <c:f>'Hummus Town, constant stock'!$F$65:$F$85</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stock'!$D$65:$D$85</c:f>
              <c:numCache>
                <c:formatCode>_(* #,##0_);_(* \(#,##0\);_(* "-"??_);_(@_)</c:formatCode>
                <c:ptCount val="21"/>
                <c:pt idx="0">
                  <c:v>1000</c:v>
                </c:pt>
                <c:pt idx="1">
                  <c:v>1000</c:v>
                </c:pt>
                <c:pt idx="2">
                  <c:v>1000</c:v>
                </c:pt>
                <c:pt idx="3">
                  <c:v>1000</c:v>
                </c:pt>
                <c:pt idx="4">
                  <c:v>1000</c:v>
                </c:pt>
                <c:pt idx="5">
                  <c:v>1000</c:v>
                </c:pt>
                <c:pt idx="6">
                  <c:v>1115.0470333499527</c:v>
                </c:pt>
                <c:pt idx="7">
                  <c:v>1372.8960451018586</c:v>
                </c:pt>
                <c:pt idx="8">
                  <c:v>1644.1298626594398</c:v>
                </c:pt>
                <c:pt idx="9">
                  <c:v>1838.2331894111921</c:v>
                </c:pt>
                <c:pt idx="10">
                  <c:v>1941.0400683271544</c:v>
                </c:pt>
                <c:pt idx="11">
                  <c:v>1982.6964578297261</c:v>
                </c:pt>
                <c:pt idx="12">
                  <c:v>2009.0584833841983</c:v>
                </c:pt>
                <c:pt idx="13">
                  <c:v>2072.3880110927462</c:v>
                </c:pt>
                <c:pt idx="14">
                  <c:v>2201.2834160625448</c:v>
                </c:pt>
                <c:pt idx="15">
                  <c:v>2385.820183496674</c:v>
                </c:pt>
                <c:pt idx="16">
                  <c:v>2583.1419220994248</c:v>
                </c:pt>
                <c:pt idx="17">
                  <c:v>2751.0388870546731</c:v>
                </c:pt>
                <c:pt idx="18">
                  <c:v>2870.5095145774894</c:v>
                </c:pt>
                <c:pt idx="19">
                  <c:v>2950.9451359167501</c:v>
                </c:pt>
                <c:pt idx="20">
                  <c:v>3020.5861076747219</c:v>
                </c:pt>
              </c:numCache>
            </c:numRef>
          </c:val>
          <c:extLst>
            <c:ext xmlns:c16="http://schemas.microsoft.com/office/drawing/2014/chart" uri="{C3380CC4-5D6E-409C-BE32-E72D297353CC}">
              <c16:uniqueId val="{00000001-3F62-49C0-8C99-AC58C5AA3FA8}"/>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not built</a:t>
            </a:r>
            <a:r>
              <a:rPr lang="en-US" baseline="0"/>
              <a:t> due to longer lifespan,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Houses Built, Using Hummus Town Lifespan</c:v>
          </c:tx>
          <c:spPr>
            <a:solidFill>
              <a:srgbClr val="00B050"/>
            </a:solidFill>
            <a:ln>
              <a:noFill/>
            </a:ln>
            <a:effectLst/>
          </c:spPr>
          <c:invertIfNegative val="0"/>
          <c:cat>
            <c:numRef>
              <c:f>'Hummus Town, constant stock'!$F$65:$F$85</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stock'!$B$65:$B$85</c:f>
              <c:numCache>
                <c:formatCode>_(* #,##0_);_(* \(#,##0\);_(* "-"??_);_(@_)</c:formatCode>
                <c:ptCount val="21"/>
                <c:pt idx="0">
                  <c:v>0</c:v>
                </c:pt>
                <c:pt idx="1">
                  <c:v>0</c:v>
                </c:pt>
                <c:pt idx="2">
                  <c:v>115.04703334995268</c:v>
                </c:pt>
                <c:pt idx="3">
                  <c:v>372.89604510185865</c:v>
                </c:pt>
                <c:pt idx="4">
                  <c:v>657.36568254206486</c:v>
                </c:pt>
                <c:pt idx="5">
                  <c:v>910.79853700236504</c:v>
                </c:pt>
                <c:pt idx="6">
                  <c:v>1028.9765293496234</c:v>
                </c:pt>
                <c:pt idx="7">
                  <c:v>1007.5592037638019</c:v>
                </c:pt>
                <c:pt idx="8">
                  <c:v>980.66561340562566</c:v>
                </c:pt>
                <c:pt idx="9">
                  <c:v>1033.1570528879577</c:v>
                </c:pt>
                <c:pt idx="10">
                  <c:v>1173.3717685525194</c:v>
                </c:pt>
                <c:pt idx="11">
                  <c:v>1374.2356697540308</c:v>
                </c:pt>
                <c:pt idx="12">
                  <c:v>1590.8819216038339</c:v>
                </c:pt>
                <c:pt idx="13">
                  <c:v>1770.9152092241668</c:v>
                </c:pt>
                <c:pt idx="14">
                  <c:v>1885.3351799042946</c:v>
                </c:pt>
                <c:pt idx="15">
                  <c:v>1943.9733518327582</c:v>
                </c:pt>
                <c:pt idx="16">
                  <c:v>1989.7907709059282</c:v>
                </c:pt>
                <c:pt idx="17">
                  <c:v>2065.056301880822</c:v>
                </c:pt>
                <c:pt idx="18">
                  <c:v>2188.7551939489199</c:v>
                </c:pt>
                <c:pt idx="19">
                  <c:v>2351.4711554522369</c:v>
                </c:pt>
                <c:pt idx="20">
                  <c:v>2524.9659198227587</c:v>
                </c:pt>
              </c:numCache>
            </c:numRef>
          </c:val>
          <c:extLst>
            <c:ext xmlns:c16="http://schemas.microsoft.com/office/drawing/2014/chart" uri="{C3380CC4-5D6E-409C-BE32-E72D297353CC}">
              <c16:uniqueId val="{00000001-4CC7-4A3F-B413-49987567BF1E}"/>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Not 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Distribution (Years</a:t>
            </a:r>
            <a:r>
              <a:rPr lang="en-US" baseline="0"/>
              <a:t> until Demolition)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build more'!$E$5</c:f>
              <c:strCache>
                <c:ptCount val="1"/>
                <c:pt idx="0">
                  <c:v>Candy Town Lifespan Distribution</c:v>
                </c:pt>
              </c:strCache>
            </c:strRef>
          </c:tx>
          <c:spPr>
            <a:ln w="19050" cap="rnd">
              <a:solidFill>
                <a:schemeClr val="accent6"/>
              </a:solidFill>
              <a:round/>
            </a:ln>
            <a:effectLst/>
          </c:spPr>
          <c:marker>
            <c:symbol val="circle"/>
            <c:size val="5"/>
            <c:spPr>
              <a:solidFill>
                <a:schemeClr val="accent1"/>
              </a:solidFill>
              <a:ln w="9525">
                <a:solidFill>
                  <a:schemeClr val="accent6"/>
                </a:solidFill>
              </a:ln>
              <a:effectLst/>
            </c:spPr>
          </c:marker>
          <c:xVal>
            <c:numRef>
              <c:f>'Hummus Town, build more'!$F$6:$O$6</c:f>
              <c:numCache>
                <c:formatCode>General</c:formatCode>
                <c:ptCount val="10"/>
                <c:pt idx="0">
                  <c:v>0</c:v>
                </c:pt>
                <c:pt idx="1">
                  <c:v>10</c:v>
                </c:pt>
                <c:pt idx="2">
                  <c:v>20</c:v>
                </c:pt>
                <c:pt idx="3">
                  <c:v>30</c:v>
                </c:pt>
                <c:pt idx="4">
                  <c:v>40</c:v>
                </c:pt>
                <c:pt idx="5">
                  <c:v>50</c:v>
                </c:pt>
                <c:pt idx="6">
                  <c:v>60</c:v>
                </c:pt>
                <c:pt idx="7">
                  <c:v>70</c:v>
                </c:pt>
                <c:pt idx="8">
                  <c:v>80</c:v>
                </c:pt>
                <c:pt idx="9">
                  <c:v>90</c:v>
                </c:pt>
              </c:numCache>
            </c:numRef>
          </c:xVal>
          <c:yVal>
            <c:numRef>
              <c:f>'Hummus Town, build more'!$F$8:$O$8</c:f>
              <c:numCache>
                <c:formatCode>0.0%</c:formatCode>
                <c:ptCount val="10"/>
                <c:pt idx="0">
                  <c:v>0</c:v>
                </c:pt>
                <c:pt idx="1">
                  <c:v>0</c:v>
                </c:pt>
                <c:pt idx="2">
                  <c:v>0.1051606831856302</c:v>
                </c:pt>
                <c:pt idx="3">
                  <c:v>0.25365892838441523</c:v>
                </c:pt>
                <c:pt idx="4">
                  <c:v>0.27330094725851223</c:v>
                </c:pt>
                <c:pt idx="5">
                  <c:v>0.19886612576537621</c:v>
                </c:pt>
                <c:pt idx="6">
                  <c:v>0.10683679138394986</c:v>
                </c:pt>
                <c:pt idx="7">
                  <c:v>4.3860885133382044E-2</c:v>
                </c:pt>
                <c:pt idx="8">
                  <c:v>1.3995399414640119E-2</c:v>
                </c:pt>
                <c:pt idx="9">
                  <c:v>3.5042516390219047E-3</c:v>
                </c:pt>
              </c:numCache>
            </c:numRef>
          </c:yVal>
          <c:smooth val="0"/>
          <c:extLst>
            <c:ext xmlns:c16="http://schemas.microsoft.com/office/drawing/2014/chart" uri="{C3380CC4-5D6E-409C-BE32-E72D297353CC}">
              <c16:uniqueId val="{00000000-1A71-46A4-83B7-86135FFD3ABD}"/>
            </c:ext>
          </c:extLst>
        </c:ser>
        <c:ser>
          <c:idx val="1"/>
          <c:order val="1"/>
          <c:tx>
            <c:strRef>
              <c:f>'Hummus Town, build more'!$E$11</c:f>
              <c:strCache>
                <c:ptCount val="1"/>
                <c:pt idx="0">
                  <c:v>Hummus Town Longer Lifespan Distribution</c:v>
                </c:pt>
              </c:strCache>
            </c:strRef>
          </c:tx>
          <c:spPr>
            <a:ln w="19050" cap="rnd">
              <a:solidFill>
                <a:schemeClr val="accent3">
                  <a:lumMod val="50000"/>
                </a:schemeClr>
              </a:solidFill>
              <a:round/>
            </a:ln>
            <a:effectLst/>
          </c:spPr>
          <c:marker>
            <c:symbol val="circle"/>
            <c:size val="5"/>
            <c:spPr>
              <a:solidFill>
                <a:schemeClr val="accent2"/>
              </a:solidFill>
              <a:ln w="9525">
                <a:solidFill>
                  <a:schemeClr val="accent3">
                    <a:lumMod val="50000"/>
                  </a:schemeClr>
                </a:solidFill>
              </a:ln>
              <a:effectLst/>
            </c:spPr>
          </c:marker>
          <c:xVal>
            <c:numRef>
              <c:f>'Hummus Town, build more'!$F$12:$Z$12</c:f>
              <c:numCache>
                <c:formatCode>General</c:formatCode>
                <c:ptCount val="2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numCache>
            </c:numRef>
          </c:xVal>
          <c:yVal>
            <c:numRef>
              <c:f>'Hummus Town, build more'!$F$13:$Z$13</c:f>
              <c:numCache>
                <c:formatCode>0.0%</c:formatCode>
                <c:ptCount val="21"/>
                <c:pt idx="0">
                  <c:v>0</c:v>
                </c:pt>
                <c:pt idx="1">
                  <c:v>0</c:v>
                </c:pt>
                <c:pt idx="2">
                  <c:v>0</c:v>
                </c:pt>
                <c:pt idx="3">
                  <c:v>0</c:v>
                </c:pt>
                <c:pt idx="4">
                  <c:v>0</c:v>
                </c:pt>
                <c:pt idx="5">
                  <c:v>0</c:v>
                </c:pt>
                <c:pt idx="6">
                  <c:v>0.1051606831856302</c:v>
                </c:pt>
                <c:pt idx="7">
                  <c:v>0.25365892838441523</c:v>
                </c:pt>
                <c:pt idx="8">
                  <c:v>0.27330094725851223</c:v>
                </c:pt>
                <c:pt idx="9">
                  <c:v>0.19886612576537621</c:v>
                </c:pt>
                <c:pt idx="10">
                  <c:v>0.10683679138394986</c:v>
                </c:pt>
                <c:pt idx="11">
                  <c:v>4.3860885133382044E-2</c:v>
                </c:pt>
                <c:pt idx="12">
                  <c:v>1.3995399414640119E-2</c:v>
                </c:pt>
                <c:pt idx="13">
                  <c:v>3.5042516390219047E-3</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1A71-46A4-83B7-86135FFD3ABD}"/>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Demolished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build more'!$G$31</c:f>
              <c:strCache>
                <c:ptCount val="1"/>
                <c:pt idx="0">
                  <c:v>Hummus Town House Demolitions, Using Candy Town Lifespan Distribution</c:v>
                </c:pt>
              </c:strCache>
            </c:strRef>
          </c:tx>
          <c:spPr>
            <a:ln w="12700" cap="flat" cmpd="sng" algn="ctr">
              <a:solidFill>
                <a:schemeClr val="accent6"/>
              </a:solidFill>
              <a:prstDash val="solid"/>
              <a:miter lim="800000"/>
            </a:ln>
            <a:effectLst/>
          </c:spPr>
          <c:marker>
            <c:symbol val="circle"/>
            <c:size val="5"/>
            <c:spPr>
              <a:solidFill>
                <a:schemeClr val="lt1"/>
              </a:solidFill>
              <a:ln w="12700" cap="flat" cmpd="sng" algn="ctr">
                <a:solidFill>
                  <a:schemeClr val="accent6"/>
                </a:solidFill>
                <a:prstDash val="solid"/>
                <a:miter lim="800000"/>
              </a:ln>
              <a:effectLst/>
            </c:spPr>
          </c:marker>
          <c:xVal>
            <c:numRef>
              <c:f>'Hummus Town, build more'!$G$33:$AA$33</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more'!$G$55:$AA$55</c:f>
              <c:numCache>
                <c:formatCode>_(* #,##0_);_(* \(#,##0\);_(* "-"??_);_(@_)</c:formatCode>
                <c:ptCount val="21"/>
                <c:pt idx="0">
                  <c:v>0</c:v>
                </c:pt>
                <c:pt idx="1">
                  <c:v>0</c:v>
                </c:pt>
                <c:pt idx="2">
                  <c:v>10.51606831856302</c:v>
                </c:pt>
                <c:pt idx="3">
                  <c:v>46.398029475567562</c:v>
                </c:pt>
                <c:pt idx="4">
                  <c:v>109.61008535842332</c:v>
                </c:pt>
                <c:pt idx="5">
                  <c:v>192.70875381781673</c:v>
                </c:pt>
                <c:pt idx="6">
                  <c:v>286.4911014156051</c:v>
                </c:pt>
                <c:pt idx="7">
                  <c:v>384.6595375267317</c:v>
                </c:pt>
                <c:pt idx="8">
                  <c:v>484.22751357932231</c:v>
                </c:pt>
                <c:pt idx="9">
                  <c:v>584.14591479581497</c:v>
                </c:pt>
                <c:pt idx="10">
                  <c:v>684.13357381540641</c:v>
                </c:pt>
                <c:pt idx="11">
                  <c:v>784.13207928155384</c:v>
                </c:pt>
                <c:pt idx="12">
                  <c:v>884.13193435366532</c:v>
                </c:pt>
                <c:pt idx="13">
                  <c:v>984.13192310014756</c:v>
                </c:pt>
                <c:pt idx="14">
                  <c:v>1084.131922400443</c:v>
                </c:pt>
                <c:pt idx="15">
                  <c:v>1184.1319223656069</c:v>
                </c:pt>
                <c:pt idx="16">
                  <c:v>1284.1319223642181</c:v>
                </c:pt>
                <c:pt idx="17">
                  <c:v>1384.1319223641735</c:v>
                </c:pt>
                <c:pt idx="18">
                  <c:v>1484.1319223641726</c:v>
                </c:pt>
                <c:pt idx="19">
                  <c:v>1584.1319223641724</c:v>
                </c:pt>
                <c:pt idx="20">
                  <c:v>1684.1319223641726</c:v>
                </c:pt>
              </c:numCache>
            </c:numRef>
          </c:yVal>
          <c:smooth val="0"/>
          <c:extLst>
            <c:ext xmlns:c16="http://schemas.microsoft.com/office/drawing/2014/chart" uri="{C3380CC4-5D6E-409C-BE32-E72D297353CC}">
              <c16:uniqueId val="{00000000-AB31-4EB5-8D2C-A45C48271F93}"/>
            </c:ext>
          </c:extLst>
        </c:ser>
        <c:ser>
          <c:idx val="1"/>
          <c:order val="1"/>
          <c:tx>
            <c:strRef>
              <c:f>'Hummus Town, build more'!$G$58</c:f>
              <c:strCache>
                <c:ptCount val="1"/>
                <c:pt idx="0">
                  <c:v>Hummus Town House Demolitions, Using Hummus Town Longer Lifespan Distribution</c:v>
                </c:pt>
              </c:strCache>
            </c:strRef>
          </c:tx>
          <c:spPr>
            <a:ln w="12700" cap="flat" cmpd="sng" algn="ctr">
              <a:solidFill>
                <a:schemeClr val="accent3">
                  <a:lumMod val="50000"/>
                </a:schemeClr>
              </a:solidFill>
              <a:prstDash val="solid"/>
              <a:miter lim="800000"/>
            </a:ln>
            <a:effectLst/>
          </c:spPr>
          <c:marker>
            <c:symbol val="circle"/>
            <c:size val="5"/>
            <c:spPr>
              <a:solidFill>
                <a:schemeClr val="lt1"/>
              </a:solidFill>
              <a:ln w="12700" cap="flat" cmpd="sng" algn="ctr">
                <a:solidFill>
                  <a:schemeClr val="accent3">
                    <a:lumMod val="50000"/>
                  </a:schemeClr>
                </a:solidFill>
                <a:prstDash val="solid"/>
                <a:miter lim="800000"/>
              </a:ln>
              <a:effectLst/>
            </c:spPr>
          </c:marker>
          <c:xVal>
            <c:numRef>
              <c:f>'Hummus Town, build more'!$G$60:$AA$60</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more'!$G$82:$AA$82</c:f>
              <c:numCache>
                <c:formatCode>_(* #,##0_);_(* \(#,##0\);_(* "-"??_);_(@_)</c:formatCode>
                <c:ptCount val="21"/>
                <c:pt idx="0">
                  <c:v>0</c:v>
                </c:pt>
                <c:pt idx="1">
                  <c:v>0</c:v>
                </c:pt>
                <c:pt idx="2">
                  <c:v>0</c:v>
                </c:pt>
                <c:pt idx="3">
                  <c:v>0</c:v>
                </c:pt>
                <c:pt idx="4">
                  <c:v>0</c:v>
                </c:pt>
                <c:pt idx="5">
                  <c:v>0</c:v>
                </c:pt>
                <c:pt idx="6">
                  <c:v>10.51606831856302</c:v>
                </c:pt>
                <c:pt idx="7">
                  <c:v>46.398029475567562</c:v>
                </c:pt>
                <c:pt idx="8">
                  <c:v>109.61008535842332</c:v>
                </c:pt>
                <c:pt idx="9">
                  <c:v>192.70875381781673</c:v>
                </c:pt>
                <c:pt idx="10">
                  <c:v>286.4911014156051</c:v>
                </c:pt>
                <c:pt idx="11">
                  <c:v>384.6595375267317</c:v>
                </c:pt>
                <c:pt idx="12">
                  <c:v>484.22751357932231</c:v>
                </c:pt>
                <c:pt idx="13">
                  <c:v>584.14591479581497</c:v>
                </c:pt>
                <c:pt idx="14">
                  <c:v>684.06431601230781</c:v>
                </c:pt>
                <c:pt idx="15">
                  <c:v>783.98271722880054</c:v>
                </c:pt>
                <c:pt idx="16">
                  <c:v>883.90111844529349</c:v>
                </c:pt>
                <c:pt idx="17">
                  <c:v>983.81951966178622</c:v>
                </c:pt>
                <c:pt idx="18">
                  <c:v>1083.7379208782788</c:v>
                </c:pt>
                <c:pt idx="19">
                  <c:v>1183.6563220947714</c:v>
                </c:pt>
                <c:pt idx="20">
                  <c:v>1283.5747233112645</c:v>
                </c:pt>
              </c:numCache>
            </c:numRef>
          </c:yVal>
          <c:smooth val="0"/>
          <c:extLst>
            <c:ext xmlns:c16="http://schemas.microsoft.com/office/drawing/2014/chart" uri="{C3380CC4-5D6E-409C-BE32-E72D297353CC}">
              <c16:uniqueId val="{00000001-AB31-4EB5-8D2C-A45C48271F93}"/>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Demolished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Demolitions</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build more'!$AF$31</c:f>
              <c:strCache>
                <c:ptCount val="1"/>
                <c:pt idx="0">
                  <c:v>Hummus Town House Stock, Using Candy Town Lifespan Distribution</c:v>
                </c:pt>
              </c:strCache>
            </c:strRef>
          </c:tx>
          <c:spPr>
            <a:ln w="12700" cap="flat" cmpd="sng" algn="ctr">
              <a:solidFill>
                <a:schemeClr val="accent6"/>
              </a:solidFill>
              <a:prstDash val="solid"/>
              <a:miter lim="800000"/>
            </a:ln>
            <a:effectLst/>
          </c:spPr>
          <c:marker>
            <c:symbol val="circle"/>
            <c:size val="5"/>
            <c:spPr>
              <a:solidFill>
                <a:schemeClr val="lt1"/>
              </a:solidFill>
              <a:ln w="12700" cap="flat" cmpd="sng" algn="ctr">
                <a:solidFill>
                  <a:schemeClr val="accent6"/>
                </a:solidFill>
                <a:prstDash val="solid"/>
                <a:miter lim="800000"/>
              </a:ln>
              <a:effectLst/>
            </c:spPr>
          </c:marker>
          <c:xVal>
            <c:numRef>
              <c:f>'Hummus Town, build more'!$AF$33:$AZ$33</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more'!$AF$55:$AZ$55</c:f>
              <c:numCache>
                <c:formatCode>_(* #,##0_);_(* \(#,##0\);_(* "-"??_);_(@_)</c:formatCode>
                <c:ptCount val="21"/>
                <c:pt idx="0">
                  <c:v>100</c:v>
                </c:pt>
                <c:pt idx="1">
                  <c:v>300</c:v>
                </c:pt>
                <c:pt idx="2">
                  <c:v>589.48393168143696</c:v>
                </c:pt>
                <c:pt idx="3">
                  <c:v>943.08590220586939</c:v>
                </c:pt>
                <c:pt idx="4">
                  <c:v>1333.4758168474461</c:v>
                </c:pt>
                <c:pt idx="5">
                  <c:v>1740.7670630296293</c:v>
                </c:pt>
                <c:pt idx="6">
                  <c:v>2154.2759616140243</c:v>
                </c:pt>
                <c:pt idx="7">
                  <c:v>2569.6164240872927</c:v>
                </c:pt>
                <c:pt idx="8">
                  <c:v>2985.3889105079702</c:v>
                </c:pt>
                <c:pt idx="9">
                  <c:v>3401.2429957121553</c:v>
                </c:pt>
                <c:pt idx="10">
                  <c:v>3817.1094218967492</c:v>
                </c:pt>
                <c:pt idx="11">
                  <c:v>4232.9773426151951</c:v>
                </c:pt>
                <c:pt idx="12">
                  <c:v>4648.8454082615299</c:v>
                </c:pt>
                <c:pt idx="13">
                  <c:v>5064.7134851613819</c:v>
                </c:pt>
                <c:pt idx="14">
                  <c:v>5480.5815627609391</c:v>
                </c:pt>
                <c:pt idx="15">
                  <c:v>5896.4496403953317</c:v>
                </c:pt>
                <c:pt idx="16">
                  <c:v>6312.3177180311141</c:v>
                </c:pt>
                <c:pt idx="17">
                  <c:v>6728.1857956669401</c:v>
                </c:pt>
                <c:pt idx="18">
                  <c:v>7144.0538733027679</c:v>
                </c:pt>
                <c:pt idx="19">
                  <c:v>7559.9219509385948</c:v>
                </c:pt>
                <c:pt idx="20">
                  <c:v>7975.7900285744217</c:v>
                </c:pt>
              </c:numCache>
            </c:numRef>
          </c:yVal>
          <c:smooth val="0"/>
          <c:extLst>
            <c:ext xmlns:c16="http://schemas.microsoft.com/office/drawing/2014/chart" uri="{C3380CC4-5D6E-409C-BE32-E72D297353CC}">
              <c16:uniqueId val="{00000000-677B-4D41-B8AE-0DAB4DACA90B}"/>
            </c:ext>
          </c:extLst>
        </c:ser>
        <c:ser>
          <c:idx val="1"/>
          <c:order val="1"/>
          <c:tx>
            <c:strRef>
              <c:f>'Hummus Town, build more'!$AF$58</c:f>
              <c:strCache>
                <c:ptCount val="1"/>
                <c:pt idx="0">
                  <c:v>Hummus Town House Stock, Using Hummus Town Longer Lifespan Distribution</c:v>
                </c:pt>
              </c:strCache>
            </c:strRef>
          </c:tx>
          <c:spPr>
            <a:ln w="12700" cap="flat" cmpd="sng" algn="ctr">
              <a:solidFill>
                <a:schemeClr val="accent3">
                  <a:lumMod val="50000"/>
                </a:schemeClr>
              </a:solidFill>
              <a:prstDash val="solid"/>
              <a:miter lim="800000"/>
            </a:ln>
            <a:effectLst/>
          </c:spPr>
          <c:marker>
            <c:symbol val="circle"/>
            <c:size val="5"/>
            <c:spPr>
              <a:solidFill>
                <a:schemeClr val="lt1"/>
              </a:solidFill>
              <a:ln w="12700" cap="flat" cmpd="sng" algn="ctr">
                <a:solidFill>
                  <a:schemeClr val="accent3">
                    <a:lumMod val="50000"/>
                  </a:schemeClr>
                </a:solidFill>
                <a:prstDash val="solid"/>
                <a:miter lim="800000"/>
              </a:ln>
              <a:effectLst/>
            </c:spPr>
          </c:marker>
          <c:xVal>
            <c:numRef>
              <c:f>'Hummus Town, build more'!$AF$60:$AZ$60</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more'!$AF$82:$AZ$82</c:f>
              <c:numCache>
                <c:formatCode>_(* #,##0_);_(* \(#,##0\);_(* "-"??_);_(@_)</c:formatCode>
                <c:ptCount val="21"/>
                <c:pt idx="0">
                  <c:v>100</c:v>
                </c:pt>
                <c:pt idx="1">
                  <c:v>300</c:v>
                </c:pt>
                <c:pt idx="2">
                  <c:v>600</c:v>
                </c:pt>
                <c:pt idx="3">
                  <c:v>1000</c:v>
                </c:pt>
                <c:pt idx="4">
                  <c:v>1500</c:v>
                </c:pt>
                <c:pt idx="5">
                  <c:v>2100</c:v>
                </c:pt>
                <c:pt idx="6">
                  <c:v>2789.4839316814368</c:v>
                </c:pt>
                <c:pt idx="7">
                  <c:v>3543.0859022058694</c:v>
                </c:pt>
                <c:pt idx="8">
                  <c:v>4333.4758168474464</c:v>
                </c:pt>
                <c:pt idx="9">
                  <c:v>5140.7670630296288</c:v>
                </c:pt>
                <c:pt idx="10">
                  <c:v>5954.2759616140247</c:v>
                </c:pt>
                <c:pt idx="11">
                  <c:v>6769.6164240872931</c:v>
                </c:pt>
                <c:pt idx="12">
                  <c:v>7585.3889105079706</c:v>
                </c:pt>
                <c:pt idx="13">
                  <c:v>8401.2429957121549</c:v>
                </c:pt>
                <c:pt idx="14">
                  <c:v>9217.1786796998476</c:v>
                </c:pt>
                <c:pt idx="15">
                  <c:v>10033.195962471047</c:v>
                </c:pt>
                <c:pt idx="16">
                  <c:v>10849.294844025753</c:v>
                </c:pt>
                <c:pt idx="17">
                  <c:v>11665.475324363968</c:v>
                </c:pt>
                <c:pt idx="18">
                  <c:v>12481.737403485688</c:v>
                </c:pt>
                <c:pt idx="19">
                  <c:v>13298.081081390916</c:v>
                </c:pt>
                <c:pt idx="20">
                  <c:v>14114.506358079652</c:v>
                </c:pt>
              </c:numCache>
            </c:numRef>
          </c:yVal>
          <c:smooth val="0"/>
          <c:extLst>
            <c:ext xmlns:c16="http://schemas.microsoft.com/office/drawing/2014/chart" uri="{C3380CC4-5D6E-409C-BE32-E72D297353CC}">
              <c16:uniqueId val="{00000001-677B-4D41-B8AE-0DAB4DACA90B}"/>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Houses Built</c:v>
          </c:tx>
          <c:spPr>
            <a:ln w="12700" cap="flat" cmpd="sng" algn="ctr">
              <a:solidFill>
                <a:sysClr val="windowText" lastClr="000000"/>
              </a:solidFill>
              <a:prstDash val="solid"/>
              <a:miter lim="800000"/>
            </a:ln>
            <a:effectLst/>
          </c:spPr>
          <c:marker>
            <c:symbol val="circle"/>
            <c:size val="5"/>
            <c:spPr>
              <a:solidFill>
                <a:schemeClr val="lt1"/>
              </a:solidFill>
              <a:ln w="12700" cap="flat" cmpd="sng" algn="ctr">
                <a:solidFill>
                  <a:sysClr val="windowText" lastClr="000000"/>
                </a:solidFill>
                <a:prstDash val="solid"/>
                <a:miter lim="800000"/>
              </a:ln>
              <a:effectLst/>
            </c:spPr>
          </c:marker>
          <c:xVal>
            <c:numRef>
              <c:f>'Hummus Town, build more'!$F$34:$F$54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more'!$E$34:$E$54</c:f>
              <c:numCache>
                <c:formatCode>General</c:formatCode>
                <c:ptCount val="2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numCache>
            </c:numRef>
          </c:yVal>
          <c:smooth val="0"/>
          <c:extLst>
            <c:ext xmlns:c16="http://schemas.microsoft.com/office/drawing/2014/chart" uri="{C3380CC4-5D6E-409C-BE32-E72D297353CC}">
              <c16:uniqueId val="{00000000-1750-49E9-9C67-3BF7A81E5E48}"/>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Discrete Probability versus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Lifespan!$E$8</c:f>
              <c:strCache>
                <c:ptCount val="1"/>
                <c:pt idx="0">
                  <c:v>Discrete Probability </c:v>
                </c:pt>
              </c:strCache>
            </c:strRef>
          </c:tx>
          <c:spPr>
            <a:ln w="19050" cap="rnd">
              <a:solidFill>
                <a:schemeClr val="accent6"/>
              </a:solidFill>
              <a:round/>
            </a:ln>
            <a:effectLst/>
          </c:spPr>
          <c:marker>
            <c:symbol val="circle"/>
            <c:size val="5"/>
            <c:spPr>
              <a:solidFill>
                <a:schemeClr val="tx1"/>
              </a:solidFill>
              <a:ln w="9525">
                <a:solidFill>
                  <a:schemeClr val="accent6"/>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7-9F23-4385-BE76-968273492039}"/>
                </c:ext>
              </c:extLst>
            </c:dLbl>
            <c:dLbl>
              <c:idx val="1"/>
              <c:delete val="1"/>
              <c:extLst>
                <c:ext xmlns:c15="http://schemas.microsoft.com/office/drawing/2012/chart" uri="{CE6537A1-D6FC-4f65-9D91-7224C49458BB}"/>
                <c:ext xmlns:c16="http://schemas.microsoft.com/office/drawing/2014/chart" uri="{C3380CC4-5D6E-409C-BE32-E72D297353CC}">
                  <c16:uniqueId val="{00000008-9F23-4385-BE76-968273492039}"/>
                </c:ext>
              </c:extLst>
            </c:dLbl>
            <c:dLbl>
              <c:idx val="7"/>
              <c:layout>
                <c:manualLayout>
                  <c:x val="-5.1145888013998247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23-4385-BE76-968273492039}"/>
                </c:ext>
              </c:extLst>
            </c:dLbl>
            <c:dLbl>
              <c:idx val="8"/>
              <c:layout>
                <c:manualLayout>
                  <c:x val="-4.5590332458442698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23-4385-BE76-9682734920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Lifespan!$F$6:$N$6</c:f>
              <c:numCache>
                <c:formatCode>General</c:formatCode>
                <c:ptCount val="9"/>
                <c:pt idx="0">
                  <c:v>0</c:v>
                </c:pt>
                <c:pt idx="1">
                  <c:v>10</c:v>
                </c:pt>
                <c:pt idx="2">
                  <c:v>20</c:v>
                </c:pt>
                <c:pt idx="3">
                  <c:v>30</c:v>
                </c:pt>
                <c:pt idx="4">
                  <c:v>40</c:v>
                </c:pt>
                <c:pt idx="5">
                  <c:v>50</c:v>
                </c:pt>
                <c:pt idx="6">
                  <c:v>60</c:v>
                </c:pt>
                <c:pt idx="7">
                  <c:v>70</c:v>
                </c:pt>
                <c:pt idx="8">
                  <c:v>80</c:v>
                </c:pt>
              </c:numCache>
            </c:numRef>
          </c:xVal>
          <c:yVal>
            <c:numRef>
              <c:f>Lifespan!$F$8:$N$8</c:f>
              <c:numCache>
                <c:formatCode>0.0%</c:formatCode>
                <c:ptCount val="9"/>
                <c:pt idx="0">
                  <c:v>0</c:v>
                </c:pt>
                <c:pt idx="1">
                  <c:v>0</c:v>
                </c:pt>
                <c:pt idx="2">
                  <c:v>0.1051606831856302</c:v>
                </c:pt>
                <c:pt idx="3">
                  <c:v>0.25365892838441523</c:v>
                </c:pt>
                <c:pt idx="4">
                  <c:v>0.27330094725851223</c:v>
                </c:pt>
                <c:pt idx="5">
                  <c:v>0.19886612576537621</c:v>
                </c:pt>
                <c:pt idx="6">
                  <c:v>0.10683679138394986</c:v>
                </c:pt>
                <c:pt idx="7">
                  <c:v>4.3860885133382044E-2</c:v>
                </c:pt>
                <c:pt idx="8">
                  <c:v>1.3995399414640119E-2</c:v>
                </c:pt>
              </c:numCache>
            </c:numRef>
          </c:yVal>
          <c:smooth val="0"/>
          <c:extLst>
            <c:ext xmlns:c16="http://schemas.microsoft.com/office/drawing/2014/chart" uri="{C3380CC4-5D6E-409C-BE32-E72D297353CC}">
              <c16:uniqueId val="{00000000-9F23-4385-BE76-968273492039}"/>
            </c:ext>
          </c:extLst>
        </c:ser>
        <c:ser>
          <c:idx val="2"/>
          <c:order val="1"/>
          <c:tx>
            <c:strRef>
              <c:f>Lifespan!$E$10</c:f>
              <c:strCache>
                <c:ptCount val="1"/>
                <c:pt idx="0">
                  <c:v>Percent of Count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9-9F23-4385-BE76-968273492039}"/>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A-9F23-4385-BE76-968273492039}"/>
                </c:ext>
              </c:extLst>
            </c:dLbl>
            <c:dLbl>
              <c:idx val="8"/>
              <c:layout>
                <c:manualLayout>
                  <c:x val="-1.3882108486439195E-2"/>
                  <c:y val="-3.9317220764071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23-4385-BE76-9682734920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Lifespan!$F$6:$N$6</c:f>
              <c:numCache>
                <c:formatCode>General</c:formatCode>
                <c:ptCount val="9"/>
                <c:pt idx="0">
                  <c:v>0</c:v>
                </c:pt>
                <c:pt idx="1">
                  <c:v>10</c:v>
                </c:pt>
                <c:pt idx="2">
                  <c:v>20</c:v>
                </c:pt>
                <c:pt idx="3">
                  <c:v>30</c:v>
                </c:pt>
                <c:pt idx="4">
                  <c:v>40</c:v>
                </c:pt>
                <c:pt idx="5">
                  <c:v>50</c:v>
                </c:pt>
                <c:pt idx="6">
                  <c:v>60</c:v>
                </c:pt>
                <c:pt idx="7">
                  <c:v>70</c:v>
                </c:pt>
                <c:pt idx="8">
                  <c:v>80</c:v>
                </c:pt>
              </c:numCache>
            </c:numRef>
          </c:xVal>
          <c:yVal>
            <c:numRef>
              <c:f>Lifespan!$F$10:$N$10</c:f>
              <c:numCache>
                <c:formatCode>0%</c:formatCode>
                <c:ptCount val="9"/>
                <c:pt idx="0">
                  <c:v>0</c:v>
                </c:pt>
                <c:pt idx="1">
                  <c:v>0</c:v>
                </c:pt>
                <c:pt idx="2">
                  <c:v>0</c:v>
                </c:pt>
                <c:pt idx="3">
                  <c:v>0</c:v>
                </c:pt>
                <c:pt idx="4">
                  <c:v>0</c:v>
                </c:pt>
                <c:pt idx="5">
                  <c:v>0</c:v>
                </c:pt>
                <c:pt idx="6">
                  <c:v>1</c:v>
                </c:pt>
                <c:pt idx="7">
                  <c:v>0</c:v>
                </c:pt>
                <c:pt idx="8">
                  <c:v>0</c:v>
                </c:pt>
              </c:numCache>
            </c:numRef>
          </c:yVal>
          <c:smooth val="0"/>
          <c:extLst>
            <c:ext xmlns:c16="http://schemas.microsoft.com/office/drawing/2014/chart" uri="{C3380CC4-5D6E-409C-BE32-E72D297353CC}">
              <c16:uniqueId val="{00000002-9F23-4385-BE76-968273492039}"/>
            </c:ext>
          </c:extLst>
        </c:ser>
        <c:dLbls>
          <c:showLegendKey val="0"/>
          <c:showVal val="0"/>
          <c:showCatName val="0"/>
          <c:showSerName val="0"/>
          <c:showPercent val="0"/>
          <c:showBubbleSize val="0"/>
        </c:dLbls>
        <c:axId val="1938650624"/>
        <c:axId val="1938649184"/>
      </c:scatterChart>
      <c:valAx>
        <c:axId val="193865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49184"/>
        <c:crosses val="autoZero"/>
        <c:crossBetween val="midCat"/>
      </c:valAx>
      <c:valAx>
        <c:axId val="1938649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506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5" Type="http://schemas.openxmlformats.org/officeDocument/2006/relationships/chart" Target="../charts/chart36.xml"/><Relationship Id="rId4" Type="http://schemas.openxmlformats.org/officeDocument/2006/relationships/chart" Target="../charts/chart3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1</xdr:col>
      <xdr:colOff>1175204</xdr:colOff>
      <xdr:row>93</xdr:row>
      <xdr:rowOff>27214</xdr:rowOff>
    </xdr:from>
    <xdr:to>
      <xdr:col>7</xdr:col>
      <xdr:colOff>590551</xdr:colOff>
      <xdr:row>107</xdr:row>
      <xdr:rowOff>45356</xdr:rowOff>
    </xdr:to>
    <xdr:graphicFrame macro="">
      <xdr:nvGraphicFramePr>
        <xdr:cNvPr id="2" name="Chart 1">
          <a:extLst>
            <a:ext uri="{FF2B5EF4-FFF2-40B4-BE49-F238E27FC236}">
              <a16:creationId xmlns:a16="http://schemas.microsoft.com/office/drawing/2014/main" id="{F8C8B491-8CBB-471A-B325-64FC03FB8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453118</xdr:colOff>
      <xdr:row>93</xdr:row>
      <xdr:rowOff>40820</xdr:rowOff>
    </xdr:from>
    <xdr:to>
      <xdr:col>15</xdr:col>
      <xdr:colOff>300718</xdr:colOff>
      <xdr:row>107</xdr:row>
      <xdr:rowOff>40367</xdr:rowOff>
    </xdr:to>
    <xdr:graphicFrame macro="">
      <xdr:nvGraphicFramePr>
        <xdr:cNvPr id="3" name="Chart 2">
          <a:extLst>
            <a:ext uri="{FF2B5EF4-FFF2-40B4-BE49-F238E27FC236}">
              <a16:creationId xmlns:a16="http://schemas.microsoft.com/office/drawing/2014/main" id="{F3C13205-E25D-45FF-8BEC-84FF868FF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578759</xdr:colOff>
      <xdr:row>70</xdr:row>
      <xdr:rowOff>28573</xdr:rowOff>
    </xdr:from>
    <xdr:to>
      <xdr:col>19</xdr:col>
      <xdr:colOff>77563</xdr:colOff>
      <xdr:row>85</xdr:row>
      <xdr:rowOff>12244</xdr:rowOff>
    </xdr:to>
    <xdr:graphicFrame macro="">
      <xdr:nvGraphicFramePr>
        <xdr:cNvPr id="4" name="Chart 3">
          <a:extLst>
            <a:ext uri="{FF2B5EF4-FFF2-40B4-BE49-F238E27FC236}">
              <a16:creationId xmlns:a16="http://schemas.microsoft.com/office/drawing/2014/main" id="{FE6723C3-3184-4976-B051-0FCAFD7DD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1219200</xdr:colOff>
      <xdr:row>133</xdr:row>
      <xdr:rowOff>81642</xdr:rowOff>
    </xdr:from>
    <xdr:to>
      <xdr:col>28</xdr:col>
      <xdr:colOff>19050</xdr:colOff>
      <xdr:row>148</xdr:row>
      <xdr:rowOff>31748</xdr:rowOff>
    </xdr:to>
    <xdr:graphicFrame macro="">
      <xdr:nvGraphicFramePr>
        <xdr:cNvPr id="5" name="Chart 4">
          <a:extLst>
            <a:ext uri="{FF2B5EF4-FFF2-40B4-BE49-F238E27FC236}">
              <a16:creationId xmlns:a16="http://schemas.microsoft.com/office/drawing/2014/main" id="{0EB29F31-90C9-4F26-9AC2-02FA706EB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180975</xdr:colOff>
      <xdr:row>133</xdr:row>
      <xdr:rowOff>28575</xdr:rowOff>
    </xdr:from>
    <xdr:to>
      <xdr:col>35</xdr:col>
      <xdr:colOff>28575</xdr:colOff>
      <xdr:row>148</xdr:row>
      <xdr:rowOff>57150</xdr:rowOff>
    </xdr:to>
    <xdr:graphicFrame macro="">
      <xdr:nvGraphicFramePr>
        <xdr:cNvPr id="6" name="Chart 5">
          <a:extLst>
            <a:ext uri="{FF2B5EF4-FFF2-40B4-BE49-F238E27FC236}">
              <a16:creationId xmlns:a16="http://schemas.microsoft.com/office/drawing/2014/main" id="{D363D42F-7EE0-48F4-9F92-AF2BA0D40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51254</xdr:colOff>
      <xdr:row>111</xdr:row>
      <xdr:rowOff>180976</xdr:rowOff>
    </xdr:from>
    <xdr:to>
      <xdr:col>39</xdr:col>
      <xdr:colOff>237672</xdr:colOff>
      <xdr:row>126</xdr:row>
      <xdr:rowOff>161472</xdr:rowOff>
    </xdr:to>
    <xdr:graphicFrame macro="">
      <xdr:nvGraphicFramePr>
        <xdr:cNvPr id="7" name="Chart 6">
          <a:extLst>
            <a:ext uri="{FF2B5EF4-FFF2-40B4-BE49-F238E27FC236}">
              <a16:creationId xmlns:a16="http://schemas.microsoft.com/office/drawing/2014/main" id="{F567F6F3-4F67-4B31-9559-8515CDFCE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xdr:colOff>
      <xdr:row>93</xdr:row>
      <xdr:rowOff>24038</xdr:rowOff>
    </xdr:from>
    <xdr:to>
      <xdr:col>19</xdr:col>
      <xdr:colOff>127001</xdr:colOff>
      <xdr:row>107</xdr:row>
      <xdr:rowOff>26760</xdr:rowOff>
    </xdr:to>
    <xdr:graphicFrame macro="">
      <xdr:nvGraphicFramePr>
        <xdr:cNvPr id="9" name="Chart 8">
          <a:extLst>
            <a:ext uri="{FF2B5EF4-FFF2-40B4-BE49-F238E27FC236}">
              <a16:creationId xmlns:a16="http://schemas.microsoft.com/office/drawing/2014/main" id="{911C6695-C24F-4A92-946E-0877683AD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0</xdr:colOff>
      <xdr:row>133</xdr:row>
      <xdr:rowOff>0</xdr:rowOff>
    </xdr:from>
    <xdr:to>
      <xdr:col>39</xdr:col>
      <xdr:colOff>133350</xdr:colOff>
      <xdr:row>148</xdr:row>
      <xdr:rowOff>31750</xdr:rowOff>
    </xdr:to>
    <xdr:graphicFrame macro="">
      <xdr:nvGraphicFramePr>
        <xdr:cNvPr id="10" name="Chart 9">
          <a:extLst>
            <a:ext uri="{FF2B5EF4-FFF2-40B4-BE49-F238E27FC236}">
              <a16:creationId xmlns:a16="http://schemas.microsoft.com/office/drawing/2014/main" id="{DDCE2697-902F-420E-8D89-E0680B50F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1219200</xdr:colOff>
      <xdr:row>52</xdr:row>
      <xdr:rowOff>81642</xdr:rowOff>
    </xdr:from>
    <xdr:to>
      <xdr:col>8</xdr:col>
      <xdr:colOff>19050</xdr:colOff>
      <xdr:row>67</xdr:row>
      <xdr:rowOff>31748</xdr:rowOff>
    </xdr:to>
    <xdr:graphicFrame macro="">
      <xdr:nvGraphicFramePr>
        <xdr:cNvPr id="11" name="Chart 10">
          <a:extLst>
            <a:ext uri="{FF2B5EF4-FFF2-40B4-BE49-F238E27FC236}">
              <a16:creationId xmlns:a16="http://schemas.microsoft.com/office/drawing/2014/main" id="{CF0667A8-C635-4100-BBE8-667D9E8FA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6350</xdr:colOff>
      <xdr:row>30</xdr:row>
      <xdr:rowOff>51255</xdr:rowOff>
    </xdr:from>
    <xdr:to>
      <xdr:col>19</xdr:col>
      <xdr:colOff>173718</xdr:colOff>
      <xdr:row>45</xdr:row>
      <xdr:rowOff>28577</xdr:rowOff>
    </xdr:to>
    <xdr:graphicFrame macro="">
      <xdr:nvGraphicFramePr>
        <xdr:cNvPr id="13" name="Chart 12">
          <a:extLst>
            <a:ext uri="{FF2B5EF4-FFF2-40B4-BE49-F238E27FC236}">
              <a16:creationId xmlns:a16="http://schemas.microsoft.com/office/drawing/2014/main" id="{534A550C-0961-4622-955B-F7EF96728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435428</xdr:colOff>
      <xdr:row>52</xdr:row>
      <xdr:rowOff>81642</xdr:rowOff>
    </xdr:from>
    <xdr:to>
      <xdr:col>15</xdr:col>
      <xdr:colOff>307068</xdr:colOff>
      <xdr:row>67</xdr:row>
      <xdr:rowOff>28573</xdr:rowOff>
    </xdr:to>
    <xdr:graphicFrame macro="">
      <xdr:nvGraphicFramePr>
        <xdr:cNvPr id="15" name="Chart 14">
          <a:extLst>
            <a:ext uri="{FF2B5EF4-FFF2-40B4-BE49-F238E27FC236}">
              <a16:creationId xmlns:a16="http://schemas.microsoft.com/office/drawing/2014/main" id="{DB9F62DF-32A9-499B-B92F-5D91CD0E8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81643</xdr:colOff>
      <xdr:row>52</xdr:row>
      <xdr:rowOff>108856</xdr:rowOff>
    </xdr:from>
    <xdr:to>
      <xdr:col>19</xdr:col>
      <xdr:colOff>242208</xdr:colOff>
      <xdr:row>67</xdr:row>
      <xdr:rowOff>58962</xdr:rowOff>
    </xdr:to>
    <xdr:graphicFrame macro="">
      <xdr:nvGraphicFramePr>
        <xdr:cNvPr id="17" name="Chart 16">
          <a:extLst>
            <a:ext uri="{FF2B5EF4-FFF2-40B4-BE49-F238E27FC236}">
              <a16:creationId xmlns:a16="http://schemas.microsoft.com/office/drawing/2014/main" id="{F8E69240-633B-4F0E-8D23-AE5A7DF8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1219200</xdr:colOff>
      <xdr:row>133</xdr:row>
      <xdr:rowOff>81642</xdr:rowOff>
    </xdr:from>
    <xdr:to>
      <xdr:col>8</xdr:col>
      <xdr:colOff>19050</xdr:colOff>
      <xdr:row>148</xdr:row>
      <xdr:rowOff>31748</xdr:rowOff>
    </xdr:to>
    <xdr:graphicFrame macro="">
      <xdr:nvGraphicFramePr>
        <xdr:cNvPr id="19" name="Chart 18">
          <a:extLst>
            <a:ext uri="{FF2B5EF4-FFF2-40B4-BE49-F238E27FC236}">
              <a16:creationId xmlns:a16="http://schemas.microsoft.com/office/drawing/2014/main" id="{5A1B12FE-C192-470B-B680-C6DE9D888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108856</xdr:colOff>
      <xdr:row>113</xdr:row>
      <xdr:rowOff>140154</xdr:rowOff>
    </xdr:from>
    <xdr:to>
      <xdr:col>19</xdr:col>
      <xdr:colOff>285749</xdr:colOff>
      <xdr:row>128</xdr:row>
      <xdr:rowOff>134257</xdr:rowOff>
    </xdr:to>
    <xdr:graphicFrame macro="">
      <xdr:nvGraphicFramePr>
        <xdr:cNvPr id="21" name="Chart 20">
          <a:extLst>
            <a:ext uri="{FF2B5EF4-FFF2-40B4-BE49-F238E27FC236}">
              <a16:creationId xmlns:a16="http://schemas.microsoft.com/office/drawing/2014/main" id="{79249BA4-C45D-41E6-B07F-EA4ABBA35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316139</xdr:colOff>
      <xdr:row>133</xdr:row>
      <xdr:rowOff>95250</xdr:rowOff>
    </xdr:from>
    <xdr:to>
      <xdr:col>15</xdr:col>
      <xdr:colOff>163739</xdr:colOff>
      <xdr:row>148</xdr:row>
      <xdr:rowOff>120650</xdr:rowOff>
    </xdr:to>
    <xdr:graphicFrame macro="">
      <xdr:nvGraphicFramePr>
        <xdr:cNvPr id="24" name="Chart 23">
          <a:extLst>
            <a:ext uri="{FF2B5EF4-FFF2-40B4-BE49-F238E27FC236}">
              <a16:creationId xmlns:a16="http://schemas.microsoft.com/office/drawing/2014/main" id="{1D5A4D00-85D6-4307-A0F3-68D3351CD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40821</xdr:colOff>
      <xdr:row>133</xdr:row>
      <xdr:rowOff>92075</xdr:rowOff>
    </xdr:from>
    <xdr:to>
      <xdr:col>19</xdr:col>
      <xdr:colOff>174171</xdr:colOff>
      <xdr:row>148</xdr:row>
      <xdr:rowOff>120650</xdr:rowOff>
    </xdr:to>
    <xdr:graphicFrame macro="">
      <xdr:nvGraphicFramePr>
        <xdr:cNvPr id="25" name="Chart 24">
          <a:extLst>
            <a:ext uri="{FF2B5EF4-FFF2-40B4-BE49-F238E27FC236}">
              <a16:creationId xmlns:a16="http://schemas.microsoft.com/office/drawing/2014/main" id="{BA45B244-57B7-4A05-A0B4-4DEEBAD62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36</xdr:col>
      <xdr:colOff>6350</xdr:colOff>
      <xdr:row>30</xdr:row>
      <xdr:rowOff>51255</xdr:rowOff>
    </xdr:from>
    <xdr:to>
      <xdr:col>39</xdr:col>
      <xdr:colOff>173718</xdr:colOff>
      <xdr:row>45</xdr:row>
      <xdr:rowOff>28577</xdr:rowOff>
    </xdr:to>
    <xdr:graphicFrame macro="">
      <xdr:nvGraphicFramePr>
        <xdr:cNvPr id="27" name="Chart 26">
          <a:extLst>
            <a:ext uri="{FF2B5EF4-FFF2-40B4-BE49-F238E27FC236}">
              <a16:creationId xmlns:a16="http://schemas.microsoft.com/office/drawing/2014/main" id="{8B7ECFF8-031E-47CA-90C5-FEB6FF901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435428</xdr:colOff>
      <xdr:row>52</xdr:row>
      <xdr:rowOff>81642</xdr:rowOff>
    </xdr:from>
    <xdr:to>
      <xdr:col>35</xdr:col>
      <xdr:colOff>307068</xdr:colOff>
      <xdr:row>67</xdr:row>
      <xdr:rowOff>28573</xdr:rowOff>
    </xdr:to>
    <xdr:graphicFrame macro="">
      <xdr:nvGraphicFramePr>
        <xdr:cNvPr id="28" name="Chart 27">
          <a:extLst>
            <a:ext uri="{FF2B5EF4-FFF2-40B4-BE49-F238E27FC236}">
              <a16:creationId xmlns:a16="http://schemas.microsoft.com/office/drawing/2014/main" id="{1F56463E-91C2-4D9A-810D-1E5CC0142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81643</xdr:colOff>
      <xdr:row>52</xdr:row>
      <xdr:rowOff>54428</xdr:rowOff>
    </xdr:from>
    <xdr:to>
      <xdr:col>28</xdr:col>
      <xdr:colOff>109312</xdr:colOff>
      <xdr:row>66</xdr:row>
      <xdr:rowOff>175077</xdr:rowOff>
    </xdr:to>
    <xdr:graphicFrame macro="">
      <xdr:nvGraphicFramePr>
        <xdr:cNvPr id="30" name="Chart 29">
          <a:extLst>
            <a:ext uri="{FF2B5EF4-FFF2-40B4-BE49-F238E27FC236}">
              <a16:creationId xmlns:a16="http://schemas.microsoft.com/office/drawing/2014/main" id="{255ACB49-9B58-4521-B0CB-EA929743D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36</xdr:col>
      <xdr:colOff>0</xdr:colOff>
      <xdr:row>53</xdr:row>
      <xdr:rowOff>0</xdr:rowOff>
    </xdr:from>
    <xdr:to>
      <xdr:col>39</xdr:col>
      <xdr:colOff>157390</xdr:colOff>
      <xdr:row>67</xdr:row>
      <xdr:rowOff>123824</xdr:rowOff>
    </xdr:to>
    <xdr:graphicFrame macro="">
      <xdr:nvGraphicFramePr>
        <xdr:cNvPr id="31" name="Chart 30">
          <a:extLst>
            <a:ext uri="{FF2B5EF4-FFF2-40B4-BE49-F238E27FC236}">
              <a16:creationId xmlns:a16="http://schemas.microsoft.com/office/drawing/2014/main" id="{56F23F3A-5C32-45CA-9651-59709C8EF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342896</xdr:colOff>
      <xdr:row>3</xdr:row>
      <xdr:rowOff>13607</xdr:rowOff>
    </xdr:from>
    <xdr:to>
      <xdr:col>32</xdr:col>
      <xdr:colOff>589868</xdr:colOff>
      <xdr:row>14</xdr:row>
      <xdr:rowOff>138112</xdr:rowOff>
    </xdr:to>
    <xdr:graphicFrame macro="">
      <xdr:nvGraphicFramePr>
        <xdr:cNvPr id="2" name="Chart 1">
          <a:extLst>
            <a:ext uri="{FF2B5EF4-FFF2-40B4-BE49-F238E27FC236}">
              <a16:creationId xmlns:a16="http://schemas.microsoft.com/office/drawing/2014/main" id="{9EAFD50B-DA37-4804-9966-069FDF169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164799</xdr:colOff>
      <xdr:row>22</xdr:row>
      <xdr:rowOff>26155</xdr:rowOff>
    </xdr:from>
    <xdr:to>
      <xdr:col>32</xdr:col>
      <xdr:colOff>416533</xdr:colOff>
      <xdr:row>33</xdr:row>
      <xdr:rowOff>144384</xdr:rowOff>
    </xdr:to>
    <xdr:graphicFrame macro="">
      <xdr:nvGraphicFramePr>
        <xdr:cNvPr id="3" name="Chart 2">
          <a:extLst>
            <a:ext uri="{FF2B5EF4-FFF2-40B4-BE49-F238E27FC236}">
              <a16:creationId xmlns:a16="http://schemas.microsoft.com/office/drawing/2014/main" id="{B6872023-085A-4A08-9A9C-00F97848B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326572</xdr:colOff>
      <xdr:row>37</xdr:row>
      <xdr:rowOff>54428</xdr:rowOff>
    </xdr:from>
    <xdr:to>
      <xdr:col>32</xdr:col>
      <xdr:colOff>583068</xdr:colOff>
      <xdr:row>48</xdr:row>
      <xdr:rowOff>178933</xdr:rowOff>
    </xdr:to>
    <xdr:graphicFrame macro="">
      <xdr:nvGraphicFramePr>
        <xdr:cNvPr id="4" name="Chart 3">
          <a:extLst>
            <a:ext uri="{FF2B5EF4-FFF2-40B4-BE49-F238E27FC236}">
              <a16:creationId xmlns:a16="http://schemas.microsoft.com/office/drawing/2014/main" id="{DEC81488-4F44-4F58-BE34-A94C610C8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394607</xdr:colOff>
      <xdr:row>53</xdr:row>
      <xdr:rowOff>27214</xdr:rowOff>
    </xdr:from>
    <xdr:to>
      <xdr:col>32</xdr:col>
      <xdr:colOff>651103</xdr:colOff>
      <xdr:row>66</xdr:row>
      <xdr:rowOff>151719</xdr:rowOff>
    </xdr:to>
    <xdr:graphicFrame macro="">
      <xdr:nvGraphicFramePr>
        <xdr:cNvPr id="5" name="Chart 4">
          <a:extLst>
            <a:ext uri="{FF2B5EF4-FFF2-40B4-BE49-F238E27FC236}">
              <a16:creationId xmlns:a16="http://schemas.microsoft.com/office/drawing/2014/main" id="{715DE143-5613-4750-8DF7-1958AB0F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716644</xdr:colOff>
      <xdr:row>15</xdr:row>
      <xdr:rowOff>47851</xdr:rowOff>
    </xdr:from>
    <xdr:to>
      <xdr:col>11</xdr:col>
      <xdr:colOff>45357</xdr:colOff>
      <xdr:row>30</xdr:row>
      <xdr:rowOff>67808</xdr:rowOff>
    </xdr:to>
    <xdr:graphicFrame macro="">
      <xdr:nvGraphicFramePr>
        <xdr:cNvPr id="2" name="Chart 1">
          <a:extLst>
            <a:ext uri="{FF2B5EF4-FFF2-40B4-BE49-F238E27FC236}">
              <a16:creationId xmlns:a16="http://schemas.microsoft.com/office/drawing/2014/main" id="{275369D1-27C6-49E0-A83F-334CD19A0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550182</xdr:colOff>
      <xdr:row>15</xdr:row>
      <xdr:rowOff>47170</xdr:rowOff>
    </xdr:from>
    <xdr:to>
      <xdr:col>20</xdr:col>
      <xdr:colOff>137431</xdr:colOff>
      <xdr:row>30</xdr:row>
      <xdr:rowOff>63045</xdr:rowOff>
    </xdr:to>
    <xdr:graphicFrame macro="">
      <xdr:nvGraphicFramePr>
        <xdr:cNvPr id="3" name="Chart 2">
          <a:extLst>
            <a:ext uri="{FF2B5EF4-FFF2-40B4-BE49-F238E27FC236}">
              <a16:creationId xmlns:a16="http://schemas.microsoft.com/office/drawing/2014/main" id="{C8CEB725-4F90-4801-9190-78329BE85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386292</xdr:colOff>
      <xdr:row>15</xdr:row>
      <xdr:rowOff>97368</xdr:rowOff>
    </xdr:from>
    <xdr:to>
      <xdr:col>63</xdr:col>
      <xdr:colOff>581025</xdr:colOff>
      <xdr:row>30</xdr:row>
      <xdr:rowOff>116418</xdr:rowOff>
    </xdr:to>
    <xdr:graphicFrame macro="">
      <xdr:nvGraphicFramePr>
        <xdr:cNvPr id="4" name="Chart 3">
          <a:extLst>
            <a:ext uri="{FF2B5EF4-FFF2-40B4-BE49-F238E27FC236}">
              <a16:creationId xmlns:a16="http://schemas.microsoft.com/office/drawing/2014/main" id="{7D692089-74C7-4D61-BCD4-EF9C183E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76200</xdr:colOff>
      <xdr:row>15</xdr:row>
      <xdr:rowOff>79375</xdr:rowOff>
    </xdr:from>
    <xdr:to>
      <xdr:col>29</xdr:col>
      <xdr:colOff>266699</xdr:colOff>
      <xdr:row>30</xdr:row>
      <xdr:rowOff>98425</xdr:rowOff>
    </xdr:to>
    <xdr:graphicFrame macro="">
      <xdr:nvGraphicFramePr>
        <xdr:cNvPr id="5" name="Chart 4">
          <a:extLst>
            <a:ext uri="{FF2B5EF4-FFF2-40B4-BE49-F238E27FC236}">
              <a16:creationId xmlns:a16="http://schemas.microsoft.com/office/drawing/2014/main" id="{6464A4BB-22E2-4AB9-BA33-B1576675A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114300</xdr:colOff>
      <xdr:row>15</xdr:row>
      <xdr:rowOff>82550</xdr:rowOff>
    </xdr:from>
    <xdr:to>
      <xdr:col>37</xdr:col>
      <xdr:colOff>584199</xdr:colOff>
      <xdr:row>30</xdr:row>
      <xdr:rowOff>101600</xdr:rowOff>
    </xdr:to>
    <xdr:graphicFrame macro="">
      <xdr:nvGraphicFramePr>
        <xdr:cNvPr id="6" name="Chart 5">
          <a:extLst>
            <a:ext uri="{FF2B5EF4-FFF2-40B4-BE49-F238E27FC236}">
              <a16:creationId xmlns:a16="http://schemas.microsoft.com/office/drawing/2014/main" id="{EA81EBDA-7C98-4C1E-A18A-08B917702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349251</xdr:colOff>
      <xdr:row>15</xdr:row>
      <xdr:rowOff>84667</xdr:rowOff>
    </xdr:from>
    <xdr:to>
      <xdr:col>46</xdr:col>
      <xdr:colOff>543983</xdr:colOff>
      <xdr:row>30</xdr:row>
      <xdr:rowOff>103717</xdr:rowOff>
    </xdr:to>
    <xdr:graphicFrame macro="">
      <xdr:nvGraphicFramePr>
        <xdr:cNvPr id="7" name="Chart 6">
          <a:extLst>
            <a:ext uri="{FF2B5EF4-FFF2-40B4-BE49-F238E27FC236}">
              <a16:creationId xmlns:a16="http://schemas.microsoft.com/office/drawing/2014/main" id="{2AED575A-DB52-4BC0-9963-E10E5A8F7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63501</xdr:colOff>
      <xdr:row>15</xdr:row>
      <xdr:rowOff>105834</xdr:rowOff>
    </xdr:from>
    <xdr:to>
      <xdr:col>55</xdr:col>
      <xdr:colOff>258233</xdr:colOff>
      <xdr:row>30</xdr:row>
      <xdr:rowOff>124884</xdr:rowOff>
    </xdr:to>
    <xdr:graphicFrame macro="">
      <xdr:nvGraphicFramePr>
        <xdr:cNvPr id="8" name="Chart 7">
          <a:extLst>
            <a:ext uri="{FF2B5EF4-FFF2-40B4-BE49-F238E27FC236}">
              <a16:creationId xmlns:a16="http://schemas.microsoft.com/office/drawing/2014/main" id="{786BF452-A66F-4D9B-9593-119641FAF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716644</xdr:colOff>
      <xdr:row>12</xdr:row>
      <xdr:rowOff>47851</xdr:rowOff>
    </xdr:from>
    <xdr:to>
      <xdr:col>11</xdr:col>
      <xdr:colOff>45357</xdr:colOff>
      <xdr:row>27</xdr:row>
      <xdr:rowOff>67808</xdr:rowOff>
    </xdr:to>
    <xdr:graphicFrame macro="">
      <xdr:nvGraphicFramePr>
        <xdr:cNvPr id="2" name="Chart 1">
          <a:extLst>
            <a:ext uri="{FF2B5EF4-FFF2-40B4-BE49-F238E27FC236}">
              <a16:creationId xmlns:a16="http://schemas.microsoft.com/office/drawing/2014/main" id="{0FDF43F2-A953-438A-BD3A-17619D1BB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550182</xdr:colOff>
      <xdr:row>12</xdr:row>
      <xdr:rowOff>47170</xdr:rowOff>
    </xdr:from>
    <xdr:to>
      <xdr:col>20</xdr:col>
      <xdr:colOff>137431</xdr:colOff>
      <xdr:row>27</xdr:row>
      <xdr:rowOff>63045</xdr:rowOff>
    </xdr:to>
    <xdr:graphicFrame macro="">
      <xdr:nvGraphicFramePr>
        <xdr:cNvPr id="3" name="Chart 2">
          <a:extLst>
            <a:ext uri="{FF2B5EF4-FFF2-40B4-BE49-F238E27FC236}">
              <a16:creationId xmlns:a16="http://schemas.microsoft.com/office/drawing/2014/main" id="{4D7F4402-2905-4FA6-A326-A496A89F1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587375</xdr:colOff>
      <xdr:row>12</xdr:row>
      <xdr:rowOff>76200</xdr:rowOff>
    </xdr:from>
    <xdr:to>
      <xdr:col>47</xdr:col>
      <xdr:colOff>168274</xdr:colOff>
      <xdr:row>27</xdr:row>
      <xdr:rowOff>95250</xdr:rowOff>
    </xdr:to>
    <xdr:graphicFrame macro="">
      <xdr:nvGraphicFramePr>
        <xdr:cNvPr id="4" name="Chart 3">
          <a:extLst>
            <a:ext uri="{FF2B5EF4-FFF2-40B4-BE49-F238E27FC236}">
              <a16:creationId xmlns:a16="http://schemas.microsoft.com/office/drawing/2014/main" id="{ACD14159-FB45-4C0A-ACD2-8A988FC13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76200</xdr:colOff>
      <xdr:row>12</xdr:row>
      <xdr:rowOff>79375</xdr:rowOff>
    </xdr:from>
    <xdr:to>
      <xdr:col>29</xdr:col>
      <xdr:colOff>266699</xdr:colOff>
      <xdr:row>27</xdr:row>
      <xdr:rowOff>98425</xdr:rowOff>
    </xdr:to>
    <xdr:graphicFrame macro="">
      <xdr:nvGraphicFramePr>
        <xdr:cNvPr id="5" name="Chart 4">
          <a:extLst>
            <a:ext uri="{FF2B5EF4-FFF2-40B4-BE49-F238E27FC236}">
              <a16:creationId xmlns:a16="http://schemas.microsoft.com/office/drawing/2014/main" id="{799EBDFC-B826-4899-AF59-A22EF7ECF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114300</xdr:colOff>
      <xdr:row>12</xdr:row>
      <xdr:rowOff>82550</xdr:rowOff>
    </xdr:from>
    <xdr:to>
      <xdr:col>37</xdr:col>
      <xdr:colOff>584199</xdr:colOff>
      <xdr:row>27</xdr:row>
      <xdr:rowOff>101600</xdr:rowOff>
    </xdr:to>
    <xdr:graphicFrame macro="">
      <xdr:nvGraphicFramePr>
        <xdr:cNvPr id="7" name="Chart 6">
          <a:extLst>
            <a:ext uri="{FF2B5EF4-FFF2-40B4-BE49-F238E27FC236}">
              <a16:creationId xmlns:a16="http://schemas.microsoft.com/office/drawing/2014/main" id="{CA9FC8D2-6847-4BF3-8C5D-F7AB364E1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138794</xdr:colOff>
      <xdr:row>14</xdr:row>
      <xdr:rowOff>35151</xdr:rowOff>
    </xdr:from>
    <xdr:to>
      <xdr:col>15</xdr:col>
      <xdr:colOff>29482</xdr:colOff>
      <xdr:row>29</xdr:row>
      <xdr:rowOff>55108</xdr:rowOff>
    </xdr:to>
    <xdr:graphicFrame macro="">
      <xdr:nvGraphicFramePr>
        <xdr:cNvPr id="2" name="Chart 1">
          <a:extLst>
            <a:ext uri="{FF2B5EF4-FFF2-40B4-BE49-F238E27FC236}">
              <a16:creationId xmlns:a16="http://schemas.microsoft.com/office/drawing/2014/main" id="{3DE50505-9BE0-649D-9388-72324FA65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16782</xdr:colOff>
      <xdr:row>14</xdr:row>
      <xdr:rowOff>40820</xdr:rowOff>
    </xdr:from>
    <xdr:to>
      <xdr:col>24</xdr:col>
      <xdr:colOff>207281</xdr:colOff>
      <xdr:row>29</xdr:row>
      <xdr:rowOff>66220</xdr:rowOff>
    </xdr:to>
    <xdr:graphicFrame macro="">
      <xdr:nvGraphicFramePr>
        <xdr:cNvPr id="3" name="Chart 2">
          <a:extLst>
            <a:ext uri="{FF2B5EF4-FFF2-40B4-BE49-F238E27FC236}">
              <a16:creationId xmlns:a16="http://schemas.microsoft.com/office/drawing/2014/main" id="{35087BCC-F826-4B0A-A7DD-C886C0FF7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206375</xdr:colOff>
      <xdr:row>14</xdr:row>
      <xdr:rowOff>95250</xdr:rowOff>
    </xdr:from>
    <xdr:to>
      <xdr:col>33</xdr:col>
      <xdr:colOff>174624</xdr:colOff>
      <xdr:row>29</xdr:row>
      <xdr:rowOff>123825</xdr:rowOff>
    </xdr:to>
    <xdr:graphicFrame macro="">
      <xdr:nvGraphicFramePr>
        <xdr:cNvPr id="4" name="Chart 3">
          <a:extLst>
            <a:ext uri="{FF2B5EF4-FFF2-40B4-BE49-F238E27FC236}">
              <a16:creationId xmlns:a16="http://schemas.microsoft.com/office/drawing/2014/main" id="{632DADFA-CDC3-4A75-9F69-9DB2F70D0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158750</xdr:colOff>
      <xdr:row>14</xdr:row>
      <xdr:rowOff>155575</xdr:rowOff>
    </xdr:from>
    <xdr:to>
      <xdr:col>42</xdr:col>
      <xdr:colOff>352424</xdr:colOff>
      <xdr:row>30</xdr:row>
      <xdr:rowOff>12700</xdr:rowOff>
    </xdr:to>
    <xdr:graphicFrame macro="">
      <xdr:nvGraphicFramePr>
        <xdr:cNvPr id="5" name="Chart 4">
          <a:extLst>
            <a:ext uri="{FF2B5EF4-FFF2-40B4-BE49-F238E27FC236}">
              <a16:creationId xmlns:a16="http://schemas.microsoft.com/office/drawing/2014/main" id="{BA960455-2F60-4E0C-B61C-60E0D0848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601980</xdr:colOff>
      <xdr:row>12</xdr:row>
      <xdr:rowOff>49530</xdr:rowOff>
    </xdr:from>
    <xdr:to>
      <xdr:col>13</xdr:col>
      <xdr:colOff>297180</xdr:colOff>
      <xdr:row>27</xdr:row>
      <xdr:rowOff>49530</xdr:rowOff>
    </xdr:to>
    <xdr:graphicFrame macro="">
      <xdr:nvGraphicFramePr>
        <xdr:cNvPr id="2" name="Chart 1">
          <a:extLst>
            <a:ext uri="{FF2B5EF4-FFF2-40B4-BE49-F238E27FC236}">
              <a16:creationId xmlns:a16="http://schemas.microsoft.com/office/drawing/2014/main" id="{6C5797CF-C9BB-EF29-C9BE-440BCAC8C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7459-6852-4D1B-A13B-CCBE46543549}">
  <dimension ref="B4:B10"/>
  <sheetViews>
    <sheetView showGridLines="0" workbookViewId="0">
      <selection activeCell="D31" sqref="D31"/>
    </sheetView>
  </sheetViews>
  <sheetFormatPr defaultRowHeight="14.4" x14ac:dyDescent="0.3"/>
  <sheetData>
    <row r="4" spans="2:2" ht="36.6" x14ac:dyDescent="0.3">
      <c r="B4" s="86" t="s">
        <v>43</v>
      </c>
    </row>
    <row r="5" spans="2:2" x14ac:dyDescent="0.3">
      <c r="B5" s="87" t="s">
        <v>94</v>
      </c>
    </row>
    <row r="6" spans="2:2" x14ac:dyDescent="0.3">
      <c r="B6" s="87" t="s">
        <v>110</v>
      </c>
    </row>
    <row r="8" spans="2:2" x14ac:dyDescent="0.3">
      <c r="B8" t="s">
        <v>84</v>
      </c>
    </row>
    <row r="10" spans="2:2" x14ac:dyDescent="0.3">
      <c r="B10"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0BE1-6443-4559-97E0-2CA5599BF7F4}">
  <dimension ref="B2:AN149"/>
  <sheetViews>
    <sheetView zoomScale="80" zoomScaleNormal="80" workbookViewId="0">
      <selection activeCell="P6" sqref="P6"/>
    </sheetView>
  </sheetViews>
  <sheetFormatPr defaultRowHeight="14.4" x14ac:dyDescent="0.3"/>
  <cols>
    <col min="2" max="2" width="17.44140625" style="9" customWidth="1"/>
    <col min="3" max="3" width="15.44140625" customWidth="1"/>
    <col min="17" max="17" width="21.44140625" bestFit="1" customWidth="1"/>
    <col min="18" max="18" width="19.109375" bestFit="1" customWidth="1"/>
    <col min="19" max="19" width="19.6640625" bestFit="1" customWidth="1"/>
    <col min="20" max="20" width="22.88671875" bestFit="1" customWidth="1"/>
    <col min="21" max="21" width="19.6640625" bestFit="1" customWidth="1"/>
    <col min="22" max="22" width="17.44140625" customWidth="1"/>
    <col min="23" max="23" width="15.44140625" customWidth="1"/>
    <col min="24" max="24" width="8.6640625" customWidth="1"/>
    <col min="27" max="32" width="8.6640625" style="105"/>
    <col min="37" max="37" width="21.44140625" bestFit="1" customWidth="1"/>
    <col min="38" max="38" width="15.88671875" bestFit="1" customWidth="1"/>
    <col min="39" max="39" width="19.6640625" bestFit="1" customWidth="1"/>
    <col min="40" max="40" width="22.88671875" bestFit="1" customWidth="1"/>
  </cols>
  <sheetData>
    <row r="2" spans="2:35" ht="18" x14ac:dyDescent="0.3">
      <c r="C2" s="7" t="s">
        <v>28</v>
      </c>
    </row>
    <row r="4" spans="2:35" ht="15" thickBot="1" x14ac:dyDescent="0.35">
      <c r="N4" s="222" t="s">
        <v>37</v>
      </c>
      <c r="O4" s="222"/>
      <c r="P4" s="222"/>
      <c r="T4" s="217" t="s">
        <v>16</v>
      </c>
      <c r="U4" s="218"/>
      <c r="V4" s="218"/>
      <c r="W4" s="218"/>
      <c r="X4" s="218"/>
      <c r="Y4" s="219"/>
      <c r="AA4"/>
      <c r="AB4"/>
      <c r="AC4"/>
      <c r="AG4" s="105"/>
      <c r="AH4" s="105"/>
      <c r="AI4" s="105"/>
    </row>
    <row r="5" spans="2:35" ht="15" thickBot="1" x14ac:dyDescent="0.35">
      <c r="C5" s="10" t="s">
        <v>35</v>
      </c>
      <c r="D5" s="11" t="s">
        <v>10</v>
      </c>
      <c r="E5" s="12">
        <v>2000</v>
      </c>
      <c r="F5" s="12">
        <v>2010</v>
      </c>
      <c r="G5" s="12">
        <v>2020</v>
      </c>
      <c r="H5" s="12">
        <v>2030</v>
      </c>
      <c r="I5" s="12">
        <v>2040</v>
      </c>
      <c r="J5" s="12">
        <v>2050</v>
      </c>
      <c r="K5" s="12">
        <v>2060</v>
      </c>
      <c r="L5" s="12">
        <v>2070</v>
      </c>
      <c r="M5" s="12">
        <v>2080</v>
      </c>
      <c r="N5" s="203" t="s">
        <v>123</v>
      </c>
      <c r="O5" s="204" t="s">
        <v>124</v>
      </c>
      <c r="P5" s="205" t="s">
        <v>69</v>
      </c>
      <c r="S5" s="142" t="s">
        <v>31</v>
      </c>
      <c r="T5" s="143" t="s">
        <v>20</v>
      </c>
      <c r="U5" s="146" t="s">
        <v>19</v>
      </c>
      <c r="V5" s="145" t="s">
        <v>17</v>
      </c>
      <c r="W5" s="143" t="s">
        <v>20</v>
      </c>
      <c r="X5" s="144" t="s">
        <v>19</v>
      </c>
      <c r="Y5" s="145" t="s">
        <v>17</v>
      </c>
      <c r="AA5"/>
      <c r="AB5"/>
      <c r="AC5"/>
      <c r="AG5" s="105"/>
      <c r="AH5" s="105"/>
      <c r="AI5" s="105"/>
    </row>
    <row r="6" spans="2:35" ht="15.6" thickTop="1" thickBot="1" x14ac:dyDescent="0.35">
      <c r="B6" s="21" t="s">
        <v>97</v>
      </c>
      <c r="C6" s="94" t="s">
        <v>44</v>
      </c>
      <c r="D6" s="95" t="s">
        <v>11</v>
      </c>
      <c r="E6" s="96" t="s">
        <v>126</v>
      </c>
      <c r="F6" s="96" t="s">
        <v>127</v>
      </c>
      <c r="G6" s="97" t="s">
        <v>127</v>
      </c>
      <c r="H6" s="97" t="s">
        <v>127</v>
      </c>
      <c r="I6" s="97" t="s">
        <v>127</v>
      </c>
      <c r="J6" s="97" t="s">
        <v>127</v>
      </c>
      <c r="K6" s="97" t="s">
        <v>128</v>
      </c>
      <c r="L6" s="96"/>
      <c r="M6" s="198"/>
      <c r="N6" s="206">
        <v>2000</v>
      </c>
      <c r="O6" s="196">
        <v>2060</v>
      </c>
      <c r="P6" s="207">
        <v>60</v>
      </c>
      <c r="S6" s="20" t="s">
        <v>10</v>
      </c>
      <c r="T6" s="111" t="s">
        <v>11</v>
      </c>
      <c r="U6" s="112" t="s">
        <v>11</v>
      </c>
      <c r="V6" s="113" t="s">
        <v>11</v>
      </c>
      <c r="W6" s="111" t="s">
        <v>21</v>
      </c>
      <c r="X6" s="112" t="s">
        <v>21</v>
      </c>
      <c r="Y6" s="113" t="s">
        <v>21</v>
      </c>
      <c r="AA6"/>
      <c r="AB6"/>
      <c r="AC6"/>
      <c r="AG6" s="105"/>
      <c r="AH6" s="105"/>
      <c r="AI6" s="105"/>
    </row>
    <row r="7" spans="2:35" ht="15" thickBot="1" x14ac:dyDescent="0.35">
      <c r="B7" s="21" t="s">
        <v>97</v>
      </c>
      <c r="C7" s="15" t="s">
        <v>45</v>
      </c>
      <c r="D7" s="4" t="s">
        <v>11</v>
      </c>
      <c r="E7" s="5"/>
      <c r="F7" s="5"/>
      <c r="G7" s="5"/>
      <c r="H7" s="93"/>
      <c r="I7" s="93"/>
      <c r="J7" s="93"/>
      <c r="K7" s="93"/>
      <c r="L7" s="5"/>
      <c r="M7" s="199"/>
      <c r="N7" s="208"/>
      <c r="O7" s="197"/>
      <c r="P7" s="209"/>
      <c r="S7" s="104" t="s">
        <v>0</v>
      </c>
      <c r="T7" s="114">
        <v>2</v>
      </c>
      <c r="U7" s="115">
        <v>1</v>
      </c>
      <c r="V7" s="116">
        <v>3</v>
      </c>
      <c r="W7" s="114">
        <v>12</v>
      </c>
      <c r="X7" s="115">
        <v>2</v>
      </c>
      <c r="Y7" s="116">
        <v>14</v>
      </c>
      <c r="AA7"/>
      <c r="AB7"/>
      <c r="AC7"/>
      <c r="AG7" s="105"/>
      <c r="AH7" s="105"/>
      <c r="AI7" s="105"/>
    </row>
    <row r="8" spans="2:35" ht="15" thickBot="1" x14ac:dyDescent="0.35">
      <c r="B8" s="21" t="s">
        <v>97</v>
      </c>
      <c r="C8" s="14" t="s">
        <v>46</v>
      </c>
      <c r="D8" s="2" t="s">
        <v>11</v>
      </c>
      <c r="E8" s="3"/>
      <c r="F8" s="92"/>
      <c r="G8" s="3"/>
      <c r="H8" s="3"/>
      <c r="I8" s="3"/>
      <c r="J8" s="3"/>
      <c r="K8" s="92"/>
      <c r="L8" s="92"/>
      <c r="M8" s="200"/>
      <c r="N8" s="206"/>
      <c r="O8" s="196"/>
      <c r="P8" s="207"/>
      <c r="S8" s="104" t="s">
        <v>18</v>
      </c>
      <c r="T8" s="114">
        <v>2.5</v>
      </c>
      <c r="U8" s="115">
        <v>0.5</v>
      </c>
      <c r="V8" s="116">
        <v>3</v>
      </c>
      <c r="W8" s="114">
        <v>0</v>
      </c>
      <c r="X8" s="115">
        <v>0</v>
      </c>
      <c r="Y8" s="116">
        <v>0</v>
      </c>
      <c r="AA8"/>
      <c r="AB8"/>
      <c r="AC8"/>
      <c r="AG8" s="105"/>
      <c r="AH8" s="105"/>
      <c r="AI8" s="105"/>
    </row>
    <row r="9" spans="2:35" ht="15" thickBot="1" x14ac:dyDescent="0.35">
      <c r="B9" s="21" t="s">
        <v>97</v>
      </c>
      <c r="C9" s="15" t="s">
        <v>47</v>
      </c>
      <c r="D9" s="4" t="s">
        <v>11</v>
      </c>
      <c r="E9" s="5"/>
      <c r="F9" s="93"/>
      <c r="G9" s="5"/>
      <c r="H9" s="5"/>
      <c r="I9" s="93"/>
      <c r="J9" s="93"/>
      <c r="K9" s="5"/>
      <c r="L9" s="5"/>
      <c r="M9" s="201"/>
      <c r="N9" s="208"/>
      <c r="O9" s="197"/>
      <c r="P9" s="209"/>
      <c r="S9" s="104" t="s">
        <v>2</v>
      </c>
      <c r="T9" s="114">
        <v>1</v>
      </c>
      <c r="U9" s="115">
        <v>0</v>
      </c>
      <c r="V9" s="116">
        <v>1</v>
      </c>
      <c r="W9" s="114">
        <v>4</v>
      </c>
      <c r="X9" s="115">
        <v>0</v>
      </c>
      <c r="Y9" s="116">
        <v>4</v>
      </c>
      <c r="AA9"/>
      <c r="AB9"/>
      <c r="AC9"/>
      <c r="AG9" s="105"/>
      <c r="AH9" s="105"/>
      <c r="AI9" s="105"/>
    </row>
    <row r="10" spans="2:35" ht="15" thickBot="1" x14ac:dyDescent="0.35">
      <c r="B10" s="21" t="s">
        <v>97</v>
      </c>
      <c r="C10" s="14" t="s">
        <v>48</v>
      </c>
      <c r="D10" s="2" t="s">
        <v>11</v>
      </c>
      <c r="E10" s="3"/>
      <c r="F10" s="92"/>
      <c r="G10" s="3"/>
      <c r="H10" s="3"/>
      <c r="I10" s="3"/>
      <c r="J10" s="3"/>
      <c r="K10" s="92"/>
      <c r="L10" s="92"/>
      <c r="M10" s="200"/>
      <c r="N10" s="206"/>
      <c r="O10" s="196"/>
      <c r="P10" s="207"/>
      <c r="S10" s="104" t="s">
        <v>3</v>
      </c>
      <c r="T10" s="114">
        <v>1</v>
      </c>
      <c r="U10" s="115">
        <v>0</v>
      </c>
      <c r="V10" s="116">
        <v>1</v>
      </c>
      <c r="W10" s="114">
        <v>2</v>
      </c>
      <c r="X10" s="115">
        <v>0</v>
      </c>
      <c r="Y10" s="116">
        <v>2</v>
      </c>
      <c r="AA10"/>
      <c r="AB10"/>
      <c r="AC10"/>
      <c r="AG10" s="105"/>
      <c r="AH10" s="105"/>
      <c r="AI10" s="105"/>
    </row>
    <row r="11" spans="2:35" ht="15" thickBot="1" x14ac:dyDescent="0.35">
      <c r="B11" s="21" t="s">
        <v>97</v>
      </c>
      <c r="C11" s="15" t="s">
        <v>49</v>
      </c>
      <c r="D11" s="4" t="s">
        <v>11</v>
      </c>
      <c r="E11" s="5"/>
      <c r="F11" s="93"/>
      <c r="G11" s="5"/>
      <c r="H11" s="5"/>
      <c r="I11" s="93"/>
      <c r="J11" s="93"/>
      <c r="K11" s="5"/>
      <c r="L11" s="5"/>
      <c r="M11" s="201"/>
      <c r="N11" s="208"/>
      <c r="O11" s="197"/>
      <c r="P11" s="209"/>
      <c r="S11" s="104" t="s">
        <v>4</v>
      </c>
      <c r="T11" s="117">
        <v>6.5</v>
      </c>
      <c r="U11" s="118">
        <v>1.5</v>
      </c>
      <c r="V11" s="119">
        <v>8</v>
      </c>
      <c r="W11" s="117">
        <v>18</v>
      </c>
      <c r="X11" s="118">
        <v>2</v>
      </c>
      <c r="Y11" s="119">
        <v>20</v>
      </c>
      <c r="AA11"/>
      <c r="AB11"/>
      <c r="AC11"/>
      <c r="AG11" s="105"/>
      <c r="AH11" s="105"/>
      <c r="AI11" s="105"/>
    </row>
    <row r="12" spans="2:35" ht="15" thickBot="1" x14ac:dyDescent="0.35">
      <c r="B12" s="21" t="s">
        <v>97</v>
      </c>
      <c r="C12" s="14" t="s">
        <v>50</v>
      </c>
      <c r="D12" s="2" t="s">
        <v>21</v>
      </c>
      <c r="E12" s="3"/>
      <c r="F12" s="92"/>
      <c r="G12" s="3"/>
      <c r="H12" s="3"/>
      <c r="I12" s="3"/>
      <c r="J12" s="3"/>
      <c r="K12" s="92"/>
      <c r="L12" s="92"/>
      <c r="M12" s="200"/>
      <c r="N12" s="206"/>
      <c r="O12" s="196"/>
      <c r="P12" s="207"/>
      <c r="T12" s="105"/>
      <c r="U12" s="105"/>
      <c r="V12" s="105"/>
      <c r="W12" s="105"/>
      <c r="X12" s="105"/>
      <c r="Y12" s="105"/>
      <c r="AA12"/>
      <c r="AB12"/>
      <c r="AC12"/>
      <c r="AG12" s="105"/>
      <c r="AH12" s="105"/>
      <c r="AI12" s="105"/>
    </row>
    <row r="13" spans="2:35" ht="15" thickBot="1" x14ac:dyDescent="0.35">
      <c r="B13" s="21" t="s">
        <v>97</v>
      </c>
      <c r="C13" s="15" t="s">
        <v>51</v>
      </c>
      <c r="D13" s="4" t="s">
        <v>21</v>
      </c>
      <c r="E13" s="5"/>
      <c r="F13" s="93"/>
      <c r="G13" s="5"/>
      <c r="H13" s="5"/>
      <c r="I13" s="93"/>
      <c r="J13" s="93"/>
      <c r="K13" s="5"/>
      <c r="L13" s="5"/>
      <c r="M13" s="201"/>
      <c r="N13" s="208"/>
      <c r="O13" s="197"/>
      <c r="P13" s="209"/>
      <c r="T13" s="217" t="s">
        <v>30</v>
      </c>
      <c r="U13" s="218"/>
      <c r="V13" s="218"/>
      <c r="W13" s="218"/>
      <c r="X13" s="218"/>
      <c r="Y13" s="219"/>
      <c r="AA13"/>
      <c r="AB13"/>
      <c r="AC13"/>
      <c r="AG13" s="105"/>
      <c r="AH13" s="105"/>
      <c r="AI13" s="105"/>
    </row>
    <row r="14" spans="2:35" ht="15" thickBot="1" x14ac:dyDescent="0.35">
      <c r="B14" s="21" t="s">
        <v>97</v>
      </c>
      <c r="C14" s="14" t="s">
        <v>52</v>
      </c>
      <c r="D14" s="2" t="s">
        <v>21</v>
      </c>
      <c r="E14" s="3"/>
      <c r="F14" s="92"/>
      <c r="G14" s="3"/>
      <c r="H14" s="3"/>
      <c r="I14" s="3"/>
      <c r="J14" s="3"/>
      <c r="K14" s="92"/>
      <c r="L14" s="92"/>
      <c r="M14" s="200"/>
      <c r="N14" s="206"/>
      <c r="O14" s="196"/>
      <c r="P14" s="207"/>
      <c r="S14" s="142" t="s">
        <v>31</v>
      </c>
      <c r="T14" s="143" t="s">
        <v>54</v>
      </c>
      <c r="U14" s="144" t="s">
        <v>29</v>
      </c>
      <c r="V14" s="145" t="s">
        <v>15</v>
      </c>
      <c r="W14" s="143" t="s">
        <v>54</v>
      </c>
      <c r="X14" s="144" t="s">
        <v>29</v>
      </c>
      <c r="Y14" s="145" t="s">
        <v>15</v>
      </c>
      <c r="AA14"/>
      <c r="AB14"/>
      <c r="AC14"/>
      <c r="AG14" s="105"/>
      <c r="AH14" s="105"/>
      <c r="AI14" s="105"/>
    </row>
    <row r="15" spans="2:35" ht="15" thickBot="1" x14ac:dyDescent="0.35">
      <c r="B15" s="21" t="s">
        <v>97</v>
      </c>
      <c r="C15" s="98" t="s">
        <v>53</v>
      </c>
      <c r="D15" s="99" t="s">
        <v>21</v>
      </c>
      <c r="E15" s="100"/>
      <c r="F15" s="101"/>
      <c r="G15" s="100"/>
      <c r="H15" s="100"/>
      <c r="I15" s="101"/>
      <c r="J15" s="101"/>
      <c r="K15" s="100"/>
      <c r="L15" s="100"/>
      <c r="M15" s="202"/>
      <c r="N15" s="210"/>
      <c r="O15" s="211"/>
      <c r="P15" s="212"/>
      <c r="S15" s="20" t="s">
        <v>10</v>
      </c>
      <c r="T15" s="111" t="s">
        <v>11</v>
      </c>
      <c r="U15" s="112" t="s">
        <v>11</v>
      </c>
      <c r="V15" s="113" t="s">
        <v>11</v>
      </c>
      <c r="W15" s="111" t="s">
        <v>21</v>
      </c>
      <c r="X15" s="112" t="s">
        <v>21</v>
      </c>
      <c r="Y15" s="113" t="s">
        <v>21</v>
      </c>
      <c r="AA15"/>
      <c r="AB15"/>
      <c r="AC15"/>
      <c r="AG15" s="105"/>
      <c r="AH15" s="105"/>
      <c r="AI15" s="105"/>
    </row>
    <row r="16" spans="2:35" ht="15" thickBot="1" x14ac:dyDescent="0.35">
      <c r="C16" s="15" t="s">
        <v>23</v>
      </c>
      <c r="D16" s="4" t="s">
        <v>11</v>
      </c>
      <c r="E16">
        <f>COUNTIFS(E$6:E$15,"B",$D$6:$D$15,$D16)</f>
        <v>1</v>
      </c>
      <c r="F16">
        <f t="shared" ref="F16:M16" si="0">COUNTIFS(F$6:F$15,"B",$D$6:$D$15,$D16)</f>
        <v>0</v>
      </c>
      <c r="G16">
        <f t="shared" si="0"/>
        <v>0</v>
      </c>
      <c r="H16">
        <f t="shared" si="0"/>
        <v>0</v>
      </c>
      <c r="I16">
        <f t="shared" si="0"/>
        <v>0</v>
      </c>
      <c r="J16">
        <f t="shared" si="0"/>
        <v>0</v>
      </c>
      <c r="K16">
        <f t="shared" si="0"/>
        <v>0</v>
      </c>
      <c r="L16">
        <f t="shared" si="0"/>
        <v>0</v>
      </c>
      <c r="M16">
        <f t="shared" si="0"/>
        <v>0</v>
      </c>
      <c r="S16" s="104" t="s">
        <v>0</v>
      </c>
      <c r="T16" s="114">
        <f>SUM(U16:V16)</f>
        <v>2</v>
      </c>
      <c r="U16" s="115">
        <v>1</v>
      </c>
      <c r="V16" s="116">
        <f>T7-U16</f>
        <v>1</v>
      </c>
      <c r="W16" s="114">
        <f>SUM(X16:Y16)</f>
        <v>12</v>
      </c>
      <c r="X16" s="115">
        <v>6</v>
      </c>
      <c r="Y16" s="116">
        <f>W7-X16</f>
        <v>6</v>
      </c>
      <c r="AA16"/>
      <c r="AB16"/>
      <c r="AC16"/>
      <c r="AG16" s="105"/>
      <c r="AH16" s="105"/>
      <c r="AI16" s="105"/>
    </row>
    <row r="17" spans="2:40" ht="15" thickBot="1" x14ac:dyDescent="0.35">
      <c r="C17" s="14" t="s">
        <v>24</v>
      </c>
      <c r="D17" s="2" t="s">
        <v>11</v>
      </c>
      <c r="E17">
        <f>COUNTIFS(E$6:E$15,"D",$D$6:$D$15,$D17)</f>
        <v>0</v>
      </c>
      <c r="F17">
        <f t="shared" ref="F17:M17" si="1">COUNTIFS(F$6:F$15,"D",$D$6:$D$15,$D17)</f>
        <v>0</v>
      </c>
      <c r="G17">
        <f t="shared" si="1"/>
        <v>0</v>
      </c>
      <c r="H17">
        <f t="shared" si="1"/>
        <v>0</v>
      </c>
      <c r="I17">
        <f t="shared" si="1"/>
        <v>0</v>
      </c>
      <c r="J17">
        <f t="shared" si="1"/>
        <v>0</v>
      </c>
      <c r="K17">
        <f t="shared" si="1"/>
        <v>1</v>
      </c>
      <c r="L17">
        <f t="shared" si="1"/>
        <v>0</v>
      </c>
      <c r="M17">
        <f t="shared" si="1"/>
        <v>0</v>
      </c>
      <c r="S17" s="104" t="s">
        <v>1</v>
      </c>
      <c r="T17" s="114">
        <f>SUM(U17:V17)</f>
        <v>2.5</v>
      </c>
      <c r="U17" s="115">
        <v>2</v>
      </c>
      <c r="V17" s="116">
        <f>T8-U17</f>
        <v>0.5</v>
      </c>
      <c r="W17" s="114">
        <f>SUM(X17:Y17)</f>
        <v>0</v>
      </c>
      <c r="X17" s="115">
        <v>0</v>
      </c>
      <c r="Y17" s="116">
        <f>W8-X17</f>
        <v>0</v>
      </c>
      <c r="AA17"/>
      <c r="AB17"/>
      <c r="AC17"/>
      <c r="AG17" s="105"/>
      <c r="AH17" s="105"/>
      <c r="AI17" s="105"/>
    </row>
    <row r="18" spans="2:40" ht="15" thickBot="1" x14ac:dyDescent="0.35">
      <c r="C18" s="15" t="s">
        <v>25</v>
      </c>
      <c r="D18" s="4" t="s">
        <v>11</v>
      </c>
      <c r="E18" s="91">
        <f>E16-E17</f>
        <v>1</v>
      </c>
      <c r="F18" s="91">
        <f>F16-F17+E18</f>
        <v>1</v>
      </c>
      <c r="G18" s="91">
        <f t="shared" ref="G18:M18" si="2">G16-G17+F18</f>
        <v>1</v>
      </c>
      <c r="H18" s="91">
        <f t="shared" si="2"/>
        <v>1</v>
      </c>
      <c r="I18" s="91">
        <f t="shared" si="2"/>
        <v>1</v>
      </c>
      <c r="J18" s="91">
        <f t="shared" si="2"/>
        <v>1</v>
      </c>
      <c r="K18" s="91">
        <f t="shared" si="2"/>
        <v>0</v>
      </c>
      <c r="L18" s="91">
        <f t="shared" si="2"/>
        <v>0</v>
      </c>
      <c r="M18" s="91">
        <f t="shared" si="2"/>
        <v>0</v>
      </c>
      <c r="S18" s="104" t="s">
        <v>2</v>
      </c>
      <c r="T18" s="114">
        <f>SUM(U18:V18)</f>
        <v>1</v>
      </c>
      <c r="U18" s="115">
        <v>1</v>
      </c>
      <c r="V18" s="116">
        <f>T9-U18</f>
        <v>0</v>
      </c>
      <c r="W18" s="114">
        <f>SUM(X18:Y18)</f>
        <v>4</v>
      </c>
      <c r="X18" s="115">
        <v>2</v>
      </c>
      <c r="Y18" s="116">
        <f>W9-X18</f>
        <v>2</v>
      </c>
      <c r="AA18"/>
      <c r="AB18"/>
      <c r="AC18"/>
      <c r="AG18" s="105"/>
      <c r="AH18" s="105"/>
      <c r="AI18" s="105"/>
    </row>
    <row r="19" spans="2:40" ht="15" thickBot="1" x14ac:dyDescent="0.35">
      <c r="C19" s="16" t="s">
        <v>26</v>
      </c>
      <c r="D19" s="6" t="s">
        <v>11</v>
      </c>
      <c r="E19" s="8"/>
      <c r="F19" s="8"/>
      <c r="G19" s="8"/>
      <c r="H19" s="8"/>
      <c r="I19" s="8"/>
      <c r="J19" s="8"/>
      <c r="K19" s="8"/>
      <c r="L19" s="8"/>
      <c r="M19" s="8"/>
      <c r="S19" s="104" t="s">
        <v>3</v>
      </c>
      <c r="T19" s="114">
        <f>SUM(U19:V19)</f>
        <v>1</v>
      </c>
      <c r="U19" s="115">
        <v>0</v>
      </c>
      <c r="V19" s="116">
        <f>T10-U19</f>
        <v>1</v>
      </c>
      <c r="W19" s="114">
        <f>SUM(X19:Y19)</f>
        <v>2</v>
      </c>
      <c r="X19" s="115">
        <v>0</v>
      </c>
      <c r="Y19" s="116">
        <f>W10-X19</f>
        <v>2</v>
      </c>
      <c r="AA19"/>
      <c r="AB19"/>
      <c r="AC19"/>
      <c r="AG19" s="105"/>
      <c r="AH19" s="105"/>
      <c r="AI19" s="105"/>
    </row>
    <row r="20" spans="2:40" ht="15.6" thickTop="1" thickBot="1" x14ac:dyDescent="0.35">
      <c r="C20" s="15" t="s">
        <v>23</v>
      </c>
      <c r="D20" s="4" t="s">
        <v>21</v>
      </c>
      <c r="E20">
        <f>COUNTIFS(E$6:E$15,"B",$D$6:$D$15,$D20)</f>
        <v>0</v>
      </c>
      <c r="F20">
        <f t="shared" ref="F20:M20" si="3">COUNTIFS(F$6:F$15,"B",$D$6:$D$15,$D20)</f>
        <v>0</v>
      </c>
      <c r="G20">
        <f t="shared" si="3"/>
        <v>0</v>
      </c>
      <c r="H20">
        <f t="shared" si="3"/>
        <v>0</v>
      </c>
      <c r="I20">
        <f t="shared" si="3"/>
        <v>0</v>
      </c>
      <c r="J20">
        <f t="shared" si="3"/>
        <v>0</v>
      </c>
      <c r="K20">
        <f t="shared" si="3"/>
        <v>0</v>
      </c>
      <c r="L20">
        <f t="shared" si="3"/>
        <v>0</v>
      </c>
      <c r="M20">
        <f t="shared" si="3"/>
        <v>0</v>
      </c>
      <c r="S20" s="104" t="s">
        <v>4</v>
      </c>
      <c r="T20" s="117">
        <f>SUM(U20:V20)</f>
        <v>6.5</v>
      </c>
      <c r="U20" s="118">
        <v>4</v>
      </c>
      <c r="V20" s="119">
        <f>T11-U20</f>
        <v>2.5</v>
      </c>
      <c r="W20" s="117">
        <f>SUM(X20:Y20)</f>
        <v>18</v>
      </c>
      <c r="X20" s="118">
        <v>8</v>
      </c>
      <c r="Y20" s="119">
        <f>W11-X20</f>
        <v>10</v>
      </c>
      <c r="AA20"/>
      <c r="AB20"/>
      <c r="AC20"/>
      <c r="AG20" s="105"/>
      <c r="AH20" s="105"/>
      <c r="AI20" s="105"/>
    </row>
    <row r="21" spans="2:40" ht="15" thickBot="1" x14ac:dyDescent="0.35">
      <c r="C21" s="14" t="s">
        <v>24</v>
      </c>
      <c r="D21" s="2" t="s">
        <v>21</v>
      </c>
      <c r="E21">
        <f>COUNTIFS(E$6:E$15,"D",$D$6:$D$15,$D21)</f>
        <v>0</v>
      </c>
      <c r="F21">
        <f t="shared" ref="F21:M21" si="4">COUNTIFS(F$6:F$15,"D",$D$6:$D$15,$D21)</f>
        <v>0</v>
      </c>
      <c r="G21">
        <f t="shared" si="4"/>
        <v>0</v>
      </c>
      <c r="H21">
        <f t="shared" si="4"/>
        <v>0</v>
      </c>
      <c r="I21">
        <f t="shared" si="4"/>
        <v>0</v>
      </c>
      <c r="J21">
        <f t="shared" si="4"/>
        <v>0</v>
      </c>
      <c r="K21">
        <f t="shared" si="4"/>
        <v>0</v>
      </c>
      <c r="L21">
        <f t="shared" si="4"/>
        <v>0</v>
      </c>
      <c r="M21">
        <f t="shared" si="4"/>
        <v>0</v>
      </c>
      <c r="S21" s="88"/>
      <c r="T21" s="88"/>
      <c r="AA21"/>
      <c r="AB21"/>
      <c r="AC21"/>
      <c r="AG21" s="105"/>
      <c r="AH21" s="105"/>
      <c r="AI21" s="105"/>
    </row>
    <row r="22" spans="2:40" ht="15" thickBot="1" x14ac:dyDescent="0.35">
      <c r="C22" s="15" t="s">
        <v>25</v>
      </c>
      <c r="D22" s="4" t="s">
        <v>21</v>
      </c>
      <c r="E22" s="91">
        <f>E20-E21</f>
        <v>0</v>
      </c>
      <c r="F22" s="91">
        <f>F20-F21+E22</f>
        <v>0</v>
      </c>
      <c r="G22" s="91">
        <f t="shared" ref="G22:M22" si="5">G20-G21+F22</f>
        <v>0</v>
      </c>
      <c r="H22" s="91">
        <f t="shared" si="5"/>
        <v>0</v>
      </c>
      <c r="I22" s="91">
        <f t="shared" si="5"/>
        <v>0</v>
      </c>
      <c r="J22" s="91">
        <f t="shared" si="5"/>
        <v>0</v>
      </c>
      <c r="K22" s="91">
        <f t="shared" si="5"/>
        <v>0</v>
      </c>
      <c r="L22" s="91">
        <f t="shared" si="5"/>
        <v>0</v>
      </c>
      <c r="M22" s="91">
        <f t="shared" si="5"/>
        <v>0</v>
      </c>
      <c r="S22" s="89"/>
      <c r="T22" s="90"/>
      <c r="AA22"/>
      <c r="AB22"/>
      <c r="AC22"/>
      <c r="AG22" s="105"/>
      <c r="AH22" s="105"/>
      <c r="AI22" s="105"/>
    </row>
    <row r="23" spans="2:40" ht="15" thickBot="1" x14ac:dyDescent="0.35">
      <c r="C23" s="16" t="s">
        <v>26</v>
      </c>
      <c r="D23" s="6" t="s">
        <v>21</v>
      </c>
      <c r="E23" s="8"/>
      <c r="F23" s="8"/>
      <c r="G23" s="8"/>
      <c r="H23" s="8"/>
      <c r="I23" s="8"/>
      <c r="J23" s="8"/>
      <c r="K23" s="8"/>
      <c r="L23" s="8"/>
      <c r="M23" s="8"/>
      <c r="S23" s="89"/>
      <c r="T23" s="90"/>
      <c r="AA23"/>
      <c r="AB23"/>
      <c r="AC23"/>
      <c r="AG23" s="105"/>
      <c r="AH23" s="105"/>
      <c r="AI23" s="105"/>
    </row>
    <row r="24" spans="2:40" ht="15" thickTop="1" x14ac:dyDescent="0.3">
      <c r="C24" s="17" t="s">
        <v>27</v>
      </c>
      <c r="D24" s="18" t="s">
        <v>4</v>
      </c>
      <c r="E24" s="19">
        <f>E18+E22</f>
        <v>1</v>
      </c>
      <c r="F24" s="19">
        <f t="shared" ref="F24:M24" si="6">F18+F22</f>
        <v>1</v>
      </c>
      <c r="G24" s="19">
        <f t="shared" si="6"/>
        <v>1</v>
      </c>
      <c r="H24" s="19">
        <f t="shared" si="6"/>
        <v>1</v>
      </c>
      <c r="I24" s="19">
        <f t="shared" si="6"/>
        <v>1</v>
      </c>
      <c r="J24" s="19">
        <f t="shared" si="6"/>
        <v>1</v>
      </c>
      <c r="K24" s="19">
        <f t="shared" si="6"/>
        <v>0</v>
      </c>
      <c r="L24" s="19">
        <f t="shared" si="6"/>
        <v>0</v>
      </c>
      <c r="M24" s="19">
        <f t="shared" si="6"/>
        <v>0</v>
      </c>
      <c r="S24" s="89"/>
      <c r="T24" s="90"/>
      <c r="AA24"/>
      <c r="AB24"/>
      <c r="AC24"/>
      <c r="AG24" s="105"/>
      <c r="AH24" s="105"/>
      <c r="AI24" s="105"/>
    </row>
    <row r="25" spans="2:40" x14ac:dyDescent="0.3">
      <c r="C25" s="120"/>
      <c r="D25" s="121"/>
      <c r="E25" s="121"/>
      <c r="F25" s="121"/>
      <c r="G25" s="121"/>
      <c r="H25" s="121"/>
      <c r="I25" s="121"/>
      <c r="J25" s="121"/>
      <c r="K25" s="121"/>
      <c r="L25" s="121"/>
      <c r="M25" s="121"/>
      <c r="P25" s="89"/>
      <c r="Q25" s="90"/>
    </row>
    <row r="26" spans="2:40" x14ac:dyDescent="0.3">
      <c r="D26" s="189" t="s">
        <v>103</v>
      </c>
      <c r="E26" s="220" t="s">
        <v>98</v>
      </c>
      <c r="F26" s="220"/>
      <c r="G26" s="220"/>
      <c r="H26" s="220"/>
      <c r="I26" s="221" t="s">
        <v>100</v>
      </c>
      <c r="J26" s="221"/>
      <c r="K26" s="221"/>
      <c r="L26" s="221"/>
      <c r="M26" s="121"/>
      <c r="P26" s="89"/>
      <c r="Q26" s="90"/>
    </row>
    <row r="27" spans="2:40" x14ac:dyDescent="0.3">
      <c r="D27" s="120"/>
      <c r="E27" s="220" t="s">
        <v>99</v>
      </c>
      <c r="F27" s="220"/>
      <c r="G27" s="220"/>
      <c r="H27" s="220"/>
      <c r="I27" s="188"/>
      <c r="J27" s="188"/>
      <c r="K27" s="188"/>
      <c r="L27" s="187"/>
      <c r="M27" s="121"/>
      <c r="P27" s="89"/>
      <c r="Q27" s="90"/>
    </row>
    <row r="28" spans="2:40" x14ac:dyDescent="0.3">
      <c r="D28" s="120"/>
      <c r="E28" s="220" t="s">
        <v>101</v>
      </c>
      <c r="F28" s="220"/>
      <c r="G28" s="220"/>
      <c r="H28" s="220"/>
      <c r="I28" s="220" t="s">
        <v>102</v>
      </c>
      <c r="J28" s="220"/>
      <c r="K28" s="220"/>
      <c r="L28" s="220"/>
      <c r="M28" s="121"/>
      <c r="P28" s="89"/>
      <c r="Q28" s="90"/>
    </row>
    <row r="29" spans="2:40" ht="15" thickBot="1" x14ac:dyDescent="0.35"/>
    <row r="30" spans="2:40" x14ac:dyDescent="0.3">
      <c r="B30" s="122"/>
      <c r="C30" s="123" t="s">
        <v>57</v>
      </c>
      <c r="D30" s="124"/>
      <c r="E30" s="124"/>
      <c r="F30" s="124"/>
      <c r="G30" s="124"/>
      <c r="H30" s="124"/>
      <c r="I30" s="124"/>
      <c r="J30" s="124"/>
      <c r="K30" s="124"/>
      <c r="L30" s="124"/>
      <c r="M30" s="124"/>
      <c r="N30" s="124"/>
      <c r="O30" s="124"/>
      <c r="P30" s="124"/>
      <c r="Q30" s="124"/>
      <c r="R30" s="124"/>
      <c r="S30" s="124"/>
      <c r="T30" s="125"/>
      <c r="V30" s="122"/>
      <c r="W30" s="123" t="s">
        <v>66</v>
      </c>
      <c r="X30" s="124"/>
      <c r="Y30" s="124"/>
      <c r="Z30" s="124"/>
      <c r="AA30" s="124"/>
      <c r="AB30" s="124"/>
      <c r="AC30" s="124"/>
      <c r="AD30" s="124"/>
      <c r="AE30" s="124"/>
      <c r="AF30" s="124"/>
      <c r="AG30" s="124"/>
      <c r="AH30" s="124"/>
      <c r="AI30" s="124"/>
      <c r="AJ30" s="124"/>
      <c r="AK30" s="124"/>
      <c r="AL30" s="124"/>
      <c r="AM30" s="124"/>
      <c r="AN30" s="125"/>
    </row>
    <row r="31" spans="2:40" ht="15" thickBot="1" x14ac:dyDescent="0.35">
      <c r="B31" s="126" t="s">
        <v>17</v>
      </c>
      <c r="C31" s="10" t="s">
        <v>10</v>
      </c>
      <c r="D31" s="12" t="s">
        <v>32</v>
      </c>
      <c r="E31" s="12">
        <v>2000</v>
      </c>
      <c r="F31" s="12">
        <v>2010</v>
      </c>
      <c r="G31" s="12">
        <v>2020</v>
      </c>
      <c r="H31" s="12">
        <v>2030</v>
      </c>
      <c r="I31" s="12">
        <v>2040</v>
      </c>
      <c r="J31" s="12">
        <v>2050</v>
      </c>
      <c r="K31" s="12">
        <v>2060</v>
      </c>
      <c r="L31" s="12">
        <v>2070</v>
      </c>
      <c r="M31" s="13">
        <v>2080</v>
      </c>
      <c r="T31" s="127"/>
      <c r="V31" s="195" t="s">
        <v>19</v>
      </c>
      <c r="W31" s="10" t="s">
        <v>10</v>
      </c>
      <c r="X31" s="12" t="s">
        <v>32</v>
      </c>
      <c r="Y31" s="12">
        <v>2000</v>
      </c>
      <c r="Z31" s="12">
        <v>2010</v>
      </c>
      <c r="AA31" s="12">
        <v>2020</v>
      </c>
      <c r="AB31" s="12">
        <v>2030</v>
      </c>
      <c r="AC31" s="12">
        <v>2040</v>
      </c>
      <c r="AD31" s="12">
        <v>2050</v>
      </c>
      <c r="AE31" s="12">
        <v>2060</v>
      </c>
      <c r="AF31" s="12">
        <v>2070</v>
      </c>
      <c r="AG31" s="13">
        <v>2080</v>
      </c>
      <c r="AN31" s="127"/>
    </row>
    <row r="32" spans="2:40" ht="15" thickTop="1" x14ac:dyDescent="0.3">
      <c r="B32" s="128">
        <v>3</v>
      </c>
      <c r="C32" s="22" t="s">
        <v>11</v>
      </c>
      <c r="D32" s="106" t="s">
        <v>0</v>
      </c>
      <c r="E32" s="107">
        <f t="shared" ref="E32:M36" si="7">$B32*E$16</f>
        <v>3</v>
      </c>
      <c r="F32" s="107">
        <f t="shared" si="7"/>
        <v>0</v>
      </c>
      <c r="G32" s="107">
        <f t="shared" si="7"/>
        <v>0</v>
      </c>
      <c r="H32" s="107">
        <f t="shared" si="7"/>
        <v>0</v>
      </c>
      <c r="I32" s="107">
        <f t="shared" si="7"/>
        <v>0</v>
      </c>
      <c r="J32" s="107">
        <f t="shared" si="7"/>
        <v>0</v>
      </c>
      <c r="K32" s="107">
        <f t="shared" si="7"/>
        <v>0</v>
      </c>
      <c r="L32" s="107">
        <f t="shared" si="7"/>
        <v>0</v>
      </c>
      <c r="M32" s="108">
        <f t="shared" si="7"/>
        <v>0</v>
      </c>
      <c r="T32" s="127"/>
      <c r="V32" s="138">
        <v>1</v>
      </c>
      <c r="W32" s="22" t="s">
        <v>11</v>
      </c>
      <c r="X32" s="106" t="s">
        <v>0</v>
      </c>
      <c r="Y32" s="107">
        <f>$V32*E$16</f>
        <v>1</v>
      </c>
      <c r="Z32" s="107">
        <f t="shared" ref="Z32:AG32" si="8">$V32*F$16</f>
        <v>0</v>
      </c>
      <c r="AA32" s="107">
        <f t="shared" si="8"/>
        <v>0</v>
      </c>
      <c r="AB32" s="107">
        <f t="shared" si="8"/>
        <v>0</v>
      </c>
      <c r="AC32" s="107">
        <f t="shared" si="8"/>
        <v>0</v>
      </c>
      <c r="AD32" s="107">
        <f t="shared" si="8"/>
        <v>0</v>
      </c>
      <c r="AE32" s="107">
        <f t="shared" si="8"/>
        <v>0</v>
      </c>
      <c r="AF32" s="107">
        <f t="shared" si="8"/>
        <v>0</v>
      </c>
      <c r="AG32" s="107">
        <f t="shared" si="8"/>
        <v>0</v>
      </c>
      <c r="AN32" s="127"/>
    </row>
    <row r="33" spans="2:40" x14ac:dyDescent="0.3">
      <c r="B33" s="128">
        <v>3</v>
      </c>
      <c r="C33" s="22" t="s">
        <v>11</v>
      </c>
      <c r="D33" s="106" t="s">
        <v>18</v>
      </c>
      <c r="E33" s="107">
        <f t="shared" si="7"/>
        <v>3</v>
      </c>
      <c r="F33" s="107">
        <f t="shared" si="7"/>
        <v>0</v>
      </c>
      <c r="G33" s="107">
        <f t="shared" si="7"/>
        <v>0</v>
      </c>
      <c r="H33" s="107">
        <f t="shared" si="7"/>
        <v>0</v>
      </c>
      <c r="I33" s="107">
        <f t="shared" si="7"/>
        <v>0</v>
      </c>
      <c r="J33" s="107">
        <f t="shared" si="7"/>
        <v>0</v>
      </c>
      <c r="K33" s="107">
        <f t="shared" si="7"/>
        <v>0</v>
      </c>
      <c r="L33" s="107">
        <f t="shared" si="7"/>
        <v>0</v>
      </c>
      <c r="M33" s="108">
        <f t="shared" si="7"/>
        <v>0</v>
      </c>
      <c r="T33" s="127"/>
      <c r="V33" s="138">
        <v>0.5</v>
      </c>
      <c r="W33" s="22" t="s">
        <v>11</v>
      </c>
      <c r="X33" s="106" t="s">
        <v>18</v>
      </c>
      <c r="Y33" s="107">
        <f t="shared" ref="Y33:Y36" si="9">$V33*E$16</f>
        <v>0.5</v>
      </c>
      <c r="Z33" s="107">
        <f t="shared" ref="Z33:Z36" si="10">$V33*F$16</f>
        <v>0</v>
      </c>
      <c r="AA33" s="107">
        <f t="shared" ref="AA33:AA36" si="11">$V33*G$16</f>
        <v>0</v>
      </c>
      <c r="AB33" s="107">
        <f t="shared" ref="AB33:AB36" si="12">$V33*H$16</f>
        <v>0</v>
      </c>
      <c r="AC33" s="107">
        <f t="shared" ref="AC33:AC36" si="13">$V33*I$16</f>
        <v>0</v>
      </c>
      <c r="AD33" s="107">
        <f t="shared" ref="AD33:AD36" si="14">$V33*J$16</f>
        <v>0</v>
      </c>
      <c r="AE33" s="107">
        <f t="shared" ref="AE33:AE36" si="15">$V33*K$16</f>
        <v>0</v>
      </c>
      <c r="AF33" s="107">
        <f t="shared" ref="AF33:AF36" si="16">$V33*L$16</f>
        <v>0</v>
      </c>
      <c r="AG33" s="107">
        <f t="shared" ref="AG33:AG36" si="17">$V33*M$16</f>
        <v>0</v>
      </c>
      <c r="AN33" s="127"/>
    </row>
    <row r="34" spans="2:40" x14ac:dyDescent="0.3">
      <c r="B34" s="128">
        <v>1</v>
      </c>
      <c r="C34" s="22" t="s">
        <v>11</v>
      </c>
      <c r="D34" s="106" t="s">
        <v>2</v>
      </c>
      <c r="E34" s="107">
        <f t="shared" si="7"/>
        <v>1</v>
      </c>
      <c r="F34" s="107">
        <f t="shared" si="7"/>
        <v>0</v>
      </c>
      <c r="G34" s="107">
        <f t="shared" si="7"/>
        <v>0</v>
      </c>
      <c r="H34" s="107">
        <f t="shared" si="7"/>
        <v>0</v>
      </c>
      <c r="I34" s="107">
        <f t="shared" si="7"/>
        <v>0</v>
      </c>
      <c r="J34" s="107">
        <f t="shared" si="7"/>
        <v>0</v>
      </c>
      <c r="K34" s="107">
        <f t="shared" si="7"/>
        <v>0</v>
      </c>
      <c r="L34" s="107">
        <f t="shared" si="7"/>
        <v>0</v>
      </c>
      <c r="M34" s="108">
        <f t="shared" si="7"/>
        <v>0</v>
      </c>
      <c r="T34" s="127"/>
      <c r="V34" s="138">
        <v>0</v>
      </c>
      <c r="W34" s="22" t="s">
        <v>11</v>
      </c>
      <c r="X34" s="106" t="s">
        <v>2</v>
      </c>
      <c r="Y34" s="107">
        <f t="shared" si="9"/>
        <v>0</v>
      </c>
      <c r="Z34" s="107">
        <f t="shared" si="10"/>
        <v>0</v>
      </c>
      <c r="AA34" s="107">
        <f t="shared" si="11"/>
        <v>0</v>
      </c>
      <c r="AB34" s="107">
        <f t="shared" si="12"/>
        <v>0</v>
      </c>
      <c r="AC34" s="107">
        <f t="shared" si="13"/>
        <v>0</v>
      </c>
      <c r="AD34" s="107">
        <f t="shared" si="14"/>
        <v>0</v>
      </c>
      <c r="AE34" s="107">
        <f t="shared" si="15"/>
        <v>0</v>
      </c>
      <c r="AF34" s="107">
        <f t="shared" si="16"/>
        <v>0</v>
      </c>
      <c r="AG34" s="107">
        <f t="shared" si="17"/>
        <v>0</v>
      </c>
      <c r="AN34" s="127"/>
    </row>
    <row r="35" spans="2:40" x14ac:dyDescent="0.3">
      <c r="B35" s="128">
        <v>1</v>
      </c>
      <c r="C35" s="22" t="s">
        <v>11</v>
      </c>
      <c r="D35" s="106" t="s">
        <v>3</v>
      </c>
      <c r="E35" s="107">
        <f t="shared" si="7"/>
        <v>1</v>
      </c>
      <c r="F35" s="107">
        <f t="shared" si="7"/>
        <v>0</v>
      </c>
      <c r="G35" s="107">
        <f t="shared" si="7"/>
        <v>0</v>
      </c>
      <c r="H35" s="107">
        <f t="shared" si="7"/>
        <v>0</v>
      </c>
      <c r="I35" s="107">
        <f t="shared" si="7"/>
        <v>0</v>
      </c>
      <c r="J35" s="107">
        <f t="shared" si="7"/>
        <v>0</v>
      </c>
      <c r="K35" s="107">
        <f t="shared" si="7"/>
        <v>0</v>
      </c>
      <c r="L35" s="107">
        <f t="shared" si="7"/>
        <v>0</v>
      </c>
      <c r="M35" s="108">
        <f t="shared" si="7"/>
        <v>0</v>
      </c>
      <c r="T35" s="127"/>
      <c r="V35" s="138">
        <v>0</v>
      </c>
      <c r="W35" s="22" t="s">
        <v>11</v>
      </c>
      <c r="X35" s="106" t="s">
        <v>3</v>
      </c>
      <c r="Y35" s="107">
        <f t="shared" si="9"/>
        <v>0</v>
      </c>
      <c r="Z35" s="107">
        <f t="shared" si="10"/>
        <v>0</v>
      </c>
      <c r="AA35" s="107">
        <f t="shared" si="11"/>
        <v>0</v>
      </c>
      <c r="AB35" s="107">
        <f t="shared" si="12"/>
        <v>0</v>
      </c>
      <c r="AC35" s="107">
        <f t="shared" si="13"/>
        <v>0</v>
      </c>
      <c r="AD35" s="107">
        <f t="shared" si="14"/>
        <v>0</v>
      </c>
      <c r="AE35" s="107">
        <f t="shared" si="15"/>
        <v>0</v>
      </c>
      <c r="AF35" s="107">
        <f t="shared" si="16"/>
        <v>0</v>
      </c>
      <c r="AG35" s="107">
        <f t="shared" si="17"/>
        <v>0</v>
      </c>
      <c r="AN35" s="127"/>
    </row>
    <row r="36" spans="2:40" x14ac:dyDescent="0.3">
      <c r="B36" s="129">
        <v>8</v>
      </c>
      <c r="C36" s="23" t="s">
        <v>11</v>
      </c>
      <c r="D36" s="1" t="s">
        <v>4</v>
      </c>
      <c r="E36" s="109">
        <f t="shared" si="7"/>
        <v>8</v>
      </c>
      <c r="F36" s="109">
        <f t="shared" si="7"/>
        <v>0</v>
      </c>
      <c r="G36" s="109">
        <f t="shared" si="7"/>
        <v>0</v>
      </c>
      <c r="H36" s="109">
        <f t="shared" si="7"/>
        <v>0</v>
      </c>
      <c r="I36" s="109">
        <f t="shared" si="7"/>
        <v>0</v>
      </c>
      <c r="J36" s="109">
        <f t="shared" si="7"/>
        <v>0</v>
      </c>
      <c r="K36" s="109">
        <f t="shared" si="7"/>
        <v>0</v>
      </c>
      <c r="L36" s="109">
        <f t="shared" si="7"/>
        <v>0</v>
      </c>
      <c r="M36" s="110">
        <f t="shared" si="7"/>
        <v>0</v>
      </c>
      <c r="T36" s="127"/>
      <c r="V36" s="139">
        <v>1.5</v>
      </c>
      <c r="W36" s="23" t="s">
        <v>11</v>
      </c>
      <c r="X36" s="1" t="s">
        <v>4</v>
      </c>
      <c r="Y36" s="107">
        <f t="shared" si="9"/>
        <v>1.5</v>
      </c>
      <c r="Z36" s="107">
        <f t="shared" si="10"/>
        <v>0</v>
      </c>
      <c r="AA36" s="107">
        <f t="shared" si="11"/>
        <v>0</v>
      </c>
      <c r="AB36" s="107">
        <f t="shared" si="12"/>
        <v>0</v>
      </c>
      <c r="AC36" s="107">
        <f t="shared" si="13"/>
        <v>0</v>
      </c>
      <c r="AD36" s="107">
        <f t="shared" si="14"/>
        <v>0</v>
      </c>
      <c r="AE36" s="107">
        <f t="shared" si="15"/>
        <v>0</v>
      </c>
      <c r="AF36" s="107">
        <f t="shared" si="16"/>
        <v>0</v>
      </c>
      <c r="AG36" s="107">
        <f t="shared" si="17"/>
        <v>0</v>
      </c>
      <c r="AN36" s="127"/>
    </row>
    <row r="37" spans="2:40" x14ac:dyDescent="0.3">
      <c r="B37" s="130"/>
      <c r="T37" s="127"/>
      <c r="V37" s="130"/>
      <c r="AA37"/>
      <c r="AB37"/>
      <c r="AC37"/>
      <c r="AD37"/>
      <c r="AE37"/>
      <c r="AF37"/>
      <c r="AN37" s="127"/>
    </row>
    <row r="38" spans="2:40" x14ac:dyDescent="0.3">
      <c r="B38" s="130"/>
      <c r="C38" s="102" t="s">
        <v>58</v>
      </c>
      <c r="T38" s="127"/>
      <c r="V38" s="130"/>
      <c r="W38" s="102" t="s">
        <v>67</v>
      </c>
      <c r="AA38"/>
      <c r="AB38"/>
      <c r="AC38"/>
      <c r="AD38"/>
      <c r="AE38"/>
      <c r="AF38"/>
      <c r="AN38" s="127"/>
    </row>
    <row r="39" spans="2:40" ht="15" thickBot="1" x14ac:dyDescent="0.35">
      <c r="B39" s="126" t="s">
        <v>17</v>
      </c>
      <c r="C39" s="10" t="s">
        <v>10</v>
      </c>
      <c r="D39" s="12" t="s">
        <v>32</v>
      </c>
      <c r="E39" s="12">
        <v>2000</v>
      </c>
      <c r="F39" s="12">
        <v>2010</v>
      </c>
      <c r="G39" s="12">
        <v>2020</v>
      </c>
      <c r="H39" s="12">
        <v>2030</v>
      </c>
      <c r="I39" s="12">
        <v>2040</v>
      </c>
      <c r="J39" s="12">
        <v>2050</v>
      </c>
      <c r="K39" s="12">
        <v>2060</v>
      </c>
      <c r="L39" s="12">
        <v>2070</v>
      </c>
      <c r="M39" s="13">
        <v>2080</v>
      </c>
      <c r="T39" s="127"/>
      <c r="V39" s="195" t="s">
        <v>19</v>
      </c>
      <c r="W39" s="10" t="s">
        <v>10</v>
      </c>
      <c r="X39" s="12" t="s">
        <v>32</v>
      </c>
      <c r="Y39" s="12">
        <v>2000</v>
      </c>
      <c r="Z39" s="12">
        <v>2010</v>
      </c>
      <c r="AA39" s="12">
        <v>2020</v>
      </c>
      <c r="AB39" s="12">
        <v>2030</v>
      </c>
      <c r="AC39" s="12">
        <v>2040</v>
      </c>
      <c r="AD39" s="12">
        <v>2050</v>
      </c>
      <c r="AE39" s="12">
        <v>2060</v>
      </c>
      <c r="AF39" s="12">
        <v>2070</v>
      </c>
      <c r="AG39" s="13">
        <v>2080</v>
      </c>
      <c r="AN39" s="127"/>
    </row>
    <row r="40" spans="2:40" ht="15" thickTop="1" x14ac:dyDescent="0.3">
      <c r="B40" s="128">
        <v>14</v>
      </c>
      <c r="C40" s="22" t="s">
        <v>21</v>
      </c>
      <c r="D40" s="106" t="s">
        <v>0</v>
      </c>
      <c r="E40" s="107">
        <f t="shared" ref="E40:M44" si="18">$B40*E$20</f>
        <v>0</v>
      </c>
      <c r="F40" s="107">
        <f t="shared" si="18"/>
        <v>0</v>
      </c>
      <c r="G40" s="107">
        <f t="shared" si="18"/>
        <v>0</v>
      </c>
      <c r="H40" s="107">
        <f t="shared" si="18"/>
        <v>0</v>
      </c>
      <c r="I40" s="107">
        <f t="shared" si="18"/>
        <v>0</v>
      </c>
      <c r="J40" s="107">
        <f t="shared" si="18"/>
        <v>0</v>
      </c>
      <c r="K40" s="107">
        <f t="shared" si="18"/>
        <v>0</v>
      </c>
      <c r="L40" s="107">
        <f t="shared" si="18"/>
        <v>0</v>
      </c>
      <c r="M40" s="108">
        <f t="shared" si="18"/>
        <v>0</v>
      </c>
      <c r="T40" s="127"/>
      <c r="V40" s="138">
        <v>2</v>
      </c>
      <c r="W40" s="22" t="s">
        <v>21</v>
      </c>
      <c r="X40" s="106" t="s">
        <v>0</v>
      </c>
      <c r="Y40" s="107">
        <f>$V40*E$20</f>
        <v>0</v>
      </c>
      <c r="Z40" s="107">
        <f t="shared" ref="Z40:AG40" si="19">$V40*F$20</f>
        <v>0</v>
      </c>
      <c r="AA40" s="107">
        <f t="shared" si="19"/>
        <v>0</v>
      </c>
      <c r="AB40" s="107">
        <f t="shared" si="19"/>
        <v>0</v>
      </c>
      <c r="AC40" s="107">
        <f t="shared" si="19"/>
        <v>0</v>
      </c>
      <c r="AD40" s="107">
        <f t="shared" si="19"/>
        <v>0</v>
      </c>
      <c r="AE40" s="107">
        <f t="shared" si="19"/>
        <v>0</v>
      </c>
      <c r="AF40" s="107">
        <f t="shared" si="19"/>
        <v>0</v>
      </c>
      <c r="AG40" s="107">
        <f t="shared" si="19"/>
        <v>0</v>
      </c>
      <c r="AN40" s="127"/>
    </row>
    <row r="41" spans="2:40" x14ac:dyDescent="0.3">
      <c r="B41" s="128">
        <v>0</v>
      </c>
      <c r="C41" s="22" t="s">
        <v>21</v>
      </c>
      <c r="D41" s="106" t="s">
        <v>18</v>
      </c>
      <c r="E41" s="107">
        <f t="shared" si="18"/>
        <v>0</v>
      </c>
      <c r="F41" s="107">
        <f t="shared" si="18"/>
        <v>0</v>
      </c>
      <c r="G41" s="107">
        <f t="shared" si="18"/>
        <v>0</v>
      </c>
      <c r="H41" s="107">
        <f t="shared" si="18"/>
        <v>0</v>
      </c>
      <c r="I41" s="107">
        <f t="shared" si="18"/>
        <v>0</v>
      </c>
      <c r="J41" s="107">
        <f t="shared" si="18"/>
        <v>0</v>
      </c>
      <c r="K41" s="107">
        <f t="shared" si="18"/>
        <v>0</v>
      </c>
      <c r="L41" s="107">
        <f t="shared" si="18"/>
        <v>0</v>
      </c>
      <c r="M41" s="108">
        <f t="shared" si="18"/>
        <v>0</v>
      </c>
      <c r="T41" s="127"/>
      <c r="V41" s="138">
        <v>0</v>
      </c>
      <c r="W41" s="22" t="s">
        <v>21</v>
      </c>
      <c r="X41" s="106" t="s">
        <v>18</v>
      </c>
      <c r="Y41" s="107">
        <f t="shared" ref="Y41:Y44" si="20">$V41*E$20</f>
        <v>0</v>
      </c>
      <c r="Z41" s="107">
        <f t="shared" ref="Z41:Z44" si="21">$V41*F$20</f>
        <v>0</v>
      </c>
      <c r="AA41" s="107">
        <f t="shared" ref="AA41:AA44" si="22">$V41*G$20</f>
        <v>0</v>
      </c>
      <c r="AB41" s="107">
        <f t="shared" ref="AB41:AB44" si="23">$V41*H$20</f>
        <v>0</v>
      </c>
      <c r="AC41" s="107">
        <f t="shared" ref="AC41:AC44" si="24">$V41*I$20</f>
        <v>0</v>
      </c>
      <c r="AD41" s="107">
        <f t="shared" ref="AD41:AD44" si="25">$V41*J$20</f>
        <v>0</v>
      </c>
      <c r="AE41" s="107">
        <f t="shared" ref="AE41:AE44" si="26">$V41*K$20</f>
        <v>0</v>
      </c>
      <c r="AF41" s="107">
        <f t="shared" ref="AF41:AF44" si="27">$V41*L$20</f>
        <v>0</v>
      </c>
      <c r="AG41" s="107">
        <f t="shared" ref="AG41:AG44" si="28">$V41*M$20</f>
        <v>0</v>
      </c>
      <c r="AN41" s="127"/>
    </row>
    <row r="42" spans="2:40" x14ac:dyDescent="0.3">
      <c r="B42" s="128">
        <v>4</v>
      </c>
      <c r="C42" s="22" t="s">
        <v>21</v>
      </c>
      <c r="D42" s="106" t="s">
        <v>2</v>
      </c>
      <c r="E42" s="107">
        <f t="shared" si="18"/>
        <v>0</v>
      </c>
      <c r="F42" s="107">
        <f t="shared" si="18"/>
        <v>0</v>
      </c>
      <c r="G42" s="107">
        <f t="shared" si="18"/>
        <v>0</v>
      </c>
      <c r="H42" s="107">
        <f t="shared" si="18"/>
        <v>0</v>
      </c>
      <c r="I42" s="107">
        <f t="shared" si="18"/>
        <v>0</v>
      </c>
      <c r="J42" s="107">
        <f t="shared" si="18"/>
        <v>0</v>
      </c>
      <c r="K42" s="107">
        <f t="shared" si="18"/>
        <v>0</v>
      </c>
      <c r="L42" s="107">
        <f t="shared" si="18"/>
        <v>0</v>
      </c>
      <c r="M42" s="108">
        <f t="shared" si="18"/>
        <v>0</v>
      </c>
      <c r="T42" s="127"/>
      <c r="V42" s="138">
        <v>0</v>
      </c>
      <c r="W42" s="22" t="s">
        <v>21</v>
      </c>
      <c r="X42" s="106" t="s">
        <v>2</v>
      </c>
      <c r="Y42" s="107">
        <f t="shared" si="20"/>
        <v>0</v>
      </c>
      <c r="Z42" s="107">
        <f t="shared" si="21"/>
        <v>0</v>
      </c>
      <c r="AA42" s="107">
        <f t="shared" si="22"/>
        <v>0</v>
      </c>
      <c r="AB42" s="107">
        <f t="shared" si="23"/>
        <v>0</v>
      </c>
      <c r="AC42" s="107">
        <f t="shared" si="24"/>
        <v>0</v>
      </c>
      <c r="AD42" s="107">
        <f t="shared" si="25"/>
        <v>0</v>
      </c>
      <c r="AE42" s="107">
        <f t="shared" si="26"/>
        <v>0</v>
      </c>
      <c r="AF42" s="107">
        <f t="shared" si="27"/>
        <v>0</v>
      </c>
      <c r="AG42" s="107">
        <f t="shared" si="28"/>
        <v>0</v>
      </c>
      <c r="AN42" s="127"/>
    </row>
    <row r="43" spans="2:40" x14ac:dyDescent="0.3">
      <c r="B43" s="128">
        <v>2</v>
      </c>
      <c r="C43" s="22" t="s">
        <v>21</v>
      </c>
      <c r="D43" s="106" t="s">
        <v>3</v>
      </c>
      <c r="E43" s="107">
        <f t="shared" si="18"/>
        <v>0</v>
      </c>
      <c r="F43" s="107">
        <f t="shared" si="18"/>
        <v>0</v>
      </c>
      <c r="G43" s="107">
        <f t="shared" si="18"/>
        <v>0</v>
      </c>
      <c r="H43" s="107">
        <f t="shared" si="18"/>
        <v>0</v>
      </c>
      <c r="I43" s="107">
        <f t="shared" si="18"/>
        <v>0</v>
      </c>
      <c r="J43" s="107">
        <f t="shared" si="18"/>
        <v>0</v>
      </c>
      <c r="K43" s="107">
        <f t="shared" si="18"/>
        <v>0</v>
      </c>
      <c r="L43" s="107">
        <f t="shared" si="18"/>
        <v>0</v>
      </c>
      <c r="M43" s="108">
        <f t="shared" si="18"/>
        <v>0</v>
      </c>
      <c r="T43" s="127"/>
      <c r="V43" s="138">
        <v>0</v>
      </c>
      <c r="W43" s="22" t="s">
        <v>21</v>
      </c>
      <c r="X43" s="106" t="s">
        <v>3</v>
      </c>
      <c r="Y43" s="107">
        <f t="shared" si="20"/>
        <v>0</v>
      </c>
      <c r="Z43" s="107">
        <f t="shared" si="21"/>
        <v>0</v>
      </c>
      <c r="AA43" s="107">
        <f t="shared" si="22"/>
        <v>0</v>
      </c>
      <c r="AB43" s="107">
        <f t="shared" si="23"/>
        <v>0</v>
      </c>
      <c r="AC43" s="107">
        <f t="shared" si="24"/>
        <v>0</v>
      </c>
      <c r="AD43" s="107">
        <f t="shared" si="25"/>
        <v>0</v>
      </c>
      <c r="AE43" s="107">
        <f t="shared" si="26"/>
        <v>0</v>
      </c>
      <c r="AF43" s="107">
        <f t="shared" si="27"/>
        <v>0</v>
      </c>
      <c r="AG43" s="107">
        <f t="shared" si="28"/>
        <v>0</v>
      </c>
      <c r="AN43" s="127"/>
    </row>
    <row r="44" spans="2:40" x14ac:dyDescent="0.3">
      <c r="B44" s="129">
        <v>20</v>
      </c>
      <c r="C44" s="23" t="s">
        <v>21</v>
      </c>
      <c r="D44" s="1" t="s">
        <v>4</v>
      </c>
      <c r="E44" s="109">
        <f t="shared" si="18"/>
        <v>0</v>
      </c>
      <c r="F44" s="109">
        <f t="shared" si="18"/>
        <v>0</v>
      </c>
      <c r="G44" s="109">
        <f t="shared" si="18"/>
        <v>0</v>
      </c>
      <c r="H44" s="109">
        <f t="shared" si="18"/>
        <v>0</v>
      </c>
      <c r="I44" s="109">
        <f t="shared" si="18"/>
        <v>0</v>
      </c>
      <c r="J44" s="109">
        <f t="shared" si="18"/>
        <v>0</v>
      </c>
      <c r="K44" s="109">
        <f t="shared" si="18"/>
        <v>0</v>
      </c>
      <c r="L44" s="109">
        <f t="shared" si="18"/>
        <v>0</v>
      </c>
      <c r="M44" s="110">
        <f t="shared" si="18"/>
        <v>0</v>
      </c>
      <c r="T44" s="127"/>
      <c r="V44" s="139">
        <v>2</v>
      </c>
      <c r="W44" s="23" t="s">
        <v>21</v>
      </c>
      <c r="X44" s="1" t="s">
        <v>4</v>
      </c>
      <c r="Y44" s="107">
        <f t="shared" si="20"/>
        <v>0</v>
      </c>
      <c r="Z44" s="107">
        <f t="shared" si="21"/>
        <v>0</v>
      </c>
      <c r="AA44" s="107">
        <f t="shared" si="22"/>
        <v>0</v>
      </c>
      <c r="AB44" s="107">
        <f t="shared" si="23"/>
        <v>0</v>
      </c>
      <c r="AC44" s="107">
        <f t="shared" si="24"/>
        <v>0</v>
      </c>
      <c r="AD44" s="107">
        <f t="shared" si="25"/>
        <v>0</v>
      </c>
      <c r="AE44" s="107">
        <f t="shared" si="26"/>
        <v>0</v>
      </c>
      <c r="AF44" s="107">
        <f t="shared" si="27"/>
        <v>0</v>
      </c>
      <c r="AG44" s="107">
        <f t="shared" si="28"/>
        <v>0</v>
      </c>
      <c r="AN44" s="127"/>
    </row>
    <row r="45" spans="2:40" x14ac:dyDescent="0.3">
      <c r="B45" s="130"/>
      <c r="T45" s="127"/>
      <c r="V45" s="130"/>
      <c r="AA45"/>
      <c r="AB45"/>
      <c r="AC45"/>
      <c r="AD45"/>
      <c r="AE45"/>
      <c r="AF45"/>
      <c r="AN45" s="127"/>
    </row>
    <row r="46" spans="2:40" x14ac:dyDescent="0.3">
      <c r="B46" s="130"/>
      <c r="C46" s="102" t="s">
        <v>59</v>
      </c>
      <c r="T46" s="127"/>
      <c r="V46" s="130"/>
      <c r="W46" s="102" t="s">
        <v>68</v>
      </c>
      <c r="AA46"/>
      <c r="AB46"/>
      <c r="AC46"/>
      <c r="AD46"/>
      <c r="AE46"/>
      <c r="AF46"/>
      <c r="AN46" s="127"/>
    </row>
    <row r="47" spans="2:40" ht="15" thickBot="1" x14ac:dyDescent="0.35">
      <c r="B47" s="131"/>
      <c r="C47" s="10" t="s">
        <v>10</v>
      </c>
      <c r="D47" s="12" t="s">
        <v>32</v>
      </c>
      <c r="E47" s="12">
        <v>2000</v>
      </c>
      <c r="F47" s="12">
        <v>2010</v>
      </c>
      <c r="G47" s="12">
        <v>2020</v>
      </c>
      <c r="H47" s="12">
        <v>2030</v>
      </c>
      <c r="I47" s="12">
        <v>2040</v>
      </c>
      <c r="J47" s="12">
        <v>2050</v>
      </c>
      <c r="K47" s="12">
        <v>2060</v>
      </c>
      <c r="L47" s="12">
        <v>2070</v>
      </c>
      <c r="M47" s="13">
        <v>2080</v>
      </c>
      <c r="T47" s="127"/>
      <c r="V47" s="131"/>
      <c r="W47" s="10" t="s">
        <v>10</v>
      </c>
      <c r="X47" s="12" t="s">
        <v>32</v>
      </c>
      <c r="Y47" s="12">
        <v>2000</v>
      </c>
      <c r="Z47" s="12">
        <v>2010</v>
      </c>
      <c r="AA47" s="12">
        <v>2020</v>
      </c>
      <c r="AB47" s="12">
        <v>2030</v>
      </c>
      <c r="AC47" s="12">
        <v>2040</v>
      </c>
      <c r="AD47" s="12">
        <v>2050</v>
      </c>
      <c r="AE47" s="12">
        <v>2060</v>
      </c>
      <c r="AF47" s="12">
        <v>2070</v>
      </c>
      <c r="AG47" s="13">
        <v>2080</v>
      </c>
      <c r="AN47" s="127"/>
    </row>
    <row r="48" spans="2:40" ht="15" thickTop="1" x14ac:dyDescent="0.3">
      <c r="B48" s="132"/>
      <c r="C48" s="22" t="s">
        <v>56</v>
      </c>
      <c r="D48" s="106" t="s">
        <v>0</v>
      </c>
      <c r="E48" s="107">
        <f t="shared" ref="E48:M48" si="29">E32+E40</f>
        <v>3</v>
      </c>
      <c r="F48" s="107">
        <f t="shared" si="29"/>
        <v>0</v>
      </c>
      <c r="G48" s="107">
        <f t="shared" si="29"/>
        <v>0</v>
      </c>
      <c r="H48" s="107">
        <f t="shared" si="29"/>
        <v>0</v>
      </c>
      <c r="I48" s="107">
        <f t="shared" si="29"/>
        <v>0</v>
      </c>
      <c r="J48" s="107">
        <f t="shared" si="29"/>
        <v>0</v>
      </c>
      <c r="K48" s="107">
        <f t="shared" si="29"/>
        <v>0</v>
      </c>
      <c r="L48" s="107">
        <f t="shared" si="29"/>
        <v>0</v>
      </c>
      <c r="M48" s="108">
        <f t="shared" si="29"/>
        <v>0</v>
      </c>
      <c r="T48" s="127"/>
      <c r="V48" s="132"/>
      <c r="W48" s="22" t="s">
        <v>56</v>
      </c>
      <c r="X48" s="106" t="s">
        <v>0</v>
      </c>
      <c r="Y48" s="107">
        <f t="shared" ref="Y48:AG48" si="30">Y32+Y40</f>
        <v>1</v>
      </c>
      <c r="Z48" s="107">
        <f t="shared" si="30"/>
        <v>0</v>
      </c>
      <c r="AA48" s="107">
        <f t="shared" si="30"/>
        <v>0</v>
      </c>
      <c r="AB48" s="107">
        <f t="shared" si="30"/>
        <v>0</v>
      </c>
      <c r="AC48" s="107">
        <f t="shared" si="30"/>
        <v>0</v>
      </c>
      <c r="AD48" s="107">
        <f t="shared" si="30"/>
        <v>0</v>
      </c>
      <c r="AE48" s="107">
        <f t="shared" si="30"/>
        <v>0</v>
      </c>
      <c r="AF48" s="107">
        <f t="shared" si="30"/>
        <v>0</v>
      </c>
      <c r="AG48" s="108">
        <f t="shared" si="30"/>
        <v>0</v>
      </c>
      <c r="AN48" s="127"/>
    </row>
    <row r="49" spans="2:40" x14ac:dyDescent="0.3">
      <c r="B49" s="132"/>
      <c r="C49" s="22" t="s">
        <v>56</v>
      </c>
      <c r="D49" s="106" t="s">
        <v>18</v>
      </c>
      <c r="E49" s="107">
        <f t="shared" ref="E49:M49" si="31">E33+E41</f>
        <v>3</v>
      </c>
      <c r="F49" s="107">
        <f t="shared" si="31"/>
        <v>0</v>
      </c>
      <c r="G49" s="107">
        <f t="shared" si="31"/>
        <v>0</v>
      </c>
      <c r="H49" s="107">
        <f t="shared" si="31"/>
        <v>0</v>
      </c>
      <c r="I49" s="107">
        <f t="shared" si="31"/>
        <v>0</v>
      </c>
      <c r="J49" s="107">
        <f t="shared" si="31"/>
        <v>0</v>
      </c>
      <c r="K49" s="107">
        <f t="shared" si="31"/>
        <v>0</v>
      </c>
      <c r="L49" s="107">
        <f t="shared" si="31"/>
        <v>0</v>
      </c>
      <c r="M49" s="108">
        <f t="shared" si="31"/>
        <v>0</v>
      </c>
      <c r="T49" s="127"/>
      <c r="V49" s="132"/>
      <c r="W49" s="22" t="s">
        <v>56</v>
      </c>
      <c r="X49" s="106" t="s">
        <v>18</v>
      </c>
      <c r="Y49" s="107">
        <f t="shared" ref="Y49:AG49" si="32">Y33+Y41</f>
        <v>0.5</v>
      </c>
      <c r="Z49" s="107">
        <f t="shared" si="32"/>
        <v>0</v>
      </c>
      <c r="AA49" s="107">
        <f t="shared" si="32"/>
        <v>0</v>
      </c>
      <c r="AB49" s="107">
        <f t="shared" si="32"/>
        <v>0</v>
      </c>
      <c r="AC49" s="107">
        <f t="shared" si="32"/>
        <v>0</v>
      </c>
      <c r="AD49" s="107">
        <f t="shared" si="32"/>
        <v>0</v>
      </c>
      <c r="AE49" s="107">
        <f t="shared" si="32"/>
        <v>0</v>
      </c>
      <c r="AF49" s="107">
        <f t="shared" si="32"/>
        <v>0</v>
      </c>
      <c r="AG49" s="108">
        <f t="shared" si="32"/>
        <v>0</v>
      </c>
      <c r="AN49" s="127"/>
    </row>
    <row r="50" spans="2:40" x14ac:dyDescent="0.3">
      <c r="B50" s="132"/>
      <c r="C50" s="22" t="s">
        <v>56</v>
      </c>
      <c r="D50" s="106" t="s">
        <v>2</v>
      </c>
      <c r="E50" s="107">
        <f t="shared" ref="E50:M50" si="33">E34+E42</f>
        <v>1</v>
      </c>
      <c r="F50" s="107">
        <f t="shared" si="33"/>
        <v>0</v>
      </c>
      <c r="G50" s="107">
        <f t="shared" si="33"/>
        <v>0</v>
      </c>
      <c r="H50" s="107">
        <f t="shared" si="33"/>
        <v>0</v>
      </c>
      <c r="I50" s="107">
        <f t="shared" si="33"/>
        <v>0</v>
      </c>
      <c r="J50" s="107">
        <f t="shared" si="33"/>
        <v>0</v>
      </c>
      <c r="K50" s="107">
        <f t="shared" si="33"/>
        <v>0</v>
      </c>
      <c r="L50" s="107">
        <f t="shared" si="33"/>
        <v>0</v>
      </c>
      <c r="M50" s="108">
        <f t="shared" si="33"/>
        <v>0</v>
      </c>
      <c r="T50" s="127"/>
      <c r="V50" s="132"/>
      <c r="W50" s="22" t="s">
        <v>56</v>
      </c>
      <c r="X50" s="106" t="s">
        <v>2</v>
      </c>
      <c r="Y50" s="107">
        <f t="shared" ref="Y50:AG50" si="34">Y34+Y42</f>
        <v>0</v>
      </c>
      <c r="Z50" s="107">
        <f t="shared" si="34"/>
        <v>0</v>
      </c>
      <c r="AA50" s="107">
        <f t="shared" si="34"/>
        <v>0</v>
      </c>
      <c r="AB50" s="107">
        <f t="shared" si="34"/>
        <v>0</v>
      </c>
      <c r="AC50" s="107">
        <f t="shared" si="34"/>
        <v>0</v>
      </c>
      <c r="AD50" s="107">
        <f t="shared" si="34"/>
        <v>0</v>
      </c>
      <c r="AE50" s="107">
        <f t="shared" si="34"/>
        <v>0</v>
      </c>
      <c r="AF50" s="107">
        <f t="shared" si="34"/>
        <v>0</v>
      </c>
      <c r="AG50" s="108">
        <f t="shared" si="34"/>
        <v>0</v>
      </c>
      <c r="AN50" s="127"/>
    </row>
    <row r="51" spans="2:40" x14ac:dyDescent="0.3">
      <c r="B51" s="132"/>
      <c r="C51" s="22" t="s">
        <v>56</v>
      </c>
      <c r="D51" s="106" t="s">
        <v>3</v>
      </c>
      <c r="E51" s="107">
        <f t="shared" ref="E51:M51" si="35">E35+E43</f>
        <v>1</v>
      </c>
      <c r="F51" s="107">
        <f t="shared" si="35"/>
        <v>0</v>
      </c>
      <c r="G51" s="107">
        <f t="shared" si="35"/>
        <v>0</v>
      </c>
      <c r="H51" s="107">
        <f t="shared" si="35"/>
        <v>0</v>
      </c>
      <c r="I51" s="107">
        <f t="shared" si="35"/>
        <v>0</v>
      </c>
      <c r="J51" s="107">
        <f t="shared" si="35"/>
        <v>0</v>
      </c>
      <c r="K51" s="107">
        <f t="shared" si="35"/>
        <v>0</v>
      </c>
      <c r="L51" s="107">
        <f t="shared" si="35"/>
        <v>0</v>
      </c>
      <c r="M51" s="108">
        <f t="shared" si="35"/>
        <v>0</v>
      </c>
      <c r="T51" s="127"/>
      <c r="V51" s="132"/>
      <c r="W51" s="22" t="s">
        <v>56</v>
      </c>
      <c r="X51" s="106" t="s">
        <v>3</v>
      </c>
      <c r="Y51" s="107">
        <f t="shared" ref="Y51:AG51" si="36">Y35+Y43</f>
        <v>0</v>
      </c>
      <c r="Z51" s="107">
        <f t="shared" si="36"/>
        <v>0</v>
      </c>
      <c r="AA51" s="107">
        <f t="shared" si="36"/>
        <v>0</v>
      </c>
      <c r="AB51" s="107">
        <f t="shared" si="36"/>
        <v>0</v>
      </c>
      <c r="AC51" s="107">
        <f t="shared" si="36"/>
        <v>0</v>
      </c>
      <c r="AD51" s="107">
        <f t="shared" si="36"/>
        <v>0</v>
      </c>
      <c r="AE51" s="107">
        <f t="shared" si="36"/>
        <v>0</v>
      </c>
      <c r="AF51" s="107">
        <f t="shared" si="36"/>
        <v>0</v>
      </c>
      <c r="AG51" s="108">
        <f t="shared" si="36"/>
        <v>0</v>
      </c>
      <c r="AN51" s="127"/>
    </row>
    <row r="52" spans="2:40" x14ac:dyDescent="0.3">
      <c r="B52" s="133"/>
      <c r="C52" s="23" t="s">
        <v>56</v>
      </c>
      <c r="D52" s="1" t="s">
        <v>4</v>
      </c>
      <c r="E52" s="109">
        <f t="shared" ref="E52:M52" si="37">E36+E44</f>
        <v>8</v>
      </c>
      <c r="F52" s="109">
        <f t="shared" si="37"/>
        <v>0</v>
      </c>
      <c r="G52" s="109">
        <f t="shared" si="37"/>
        <v>0</v>
      </c>
      <c r="H52" s="109">
        <f t="shared" si="37"/>
        <v>0</v>
      </c>
      <c r="I52" s="109">
        <f t="shared" si="37"/>
        <v>0</v>
      </c>
      <c r="J52" s="109">
        <f t="shared" si="37"/>
        <v>0</v>
      </c>
      <c r="K52" s="109">
        <f t="shared" si="37"/>
        <v>0</v>
      </c>
      <c r="L52" s="109">
        <f t="shared" si="37"/>
        <v>0</v>
      </c>
      <c r="M52" s="110">
        <f t="shared" si="37"/>
        <v>0</v>
      </c>
      <c r="T52" s="127"/>
      <c r="V52" s="133"/>
      <c r="W52" s="23" t="s">
        <v>56</v>
      </c>
      <c r="X52" s="1" t="s">
        <v>4</v>
      </c>
      <c r="Y52" s="109">
        <f t="shared" ref="Y52:AG52" si="38">Y36+Y44</f>
        <v>1.5</v>
      </c>
      <c r="Z52" s="109">
        <f t="shared" si="38"/>
        <v>0</v>
      </c>
      <c r="AA52" s="109">
        <f t="shared" si="38"/>
        <v>0</v>
      </c>
      <c r="AB52" s="109">
        <f t="shared" si="38"/>
        <v>0</v>
      </c>
      <c r="AC52" s="109">
        <f t="shared" si="38"/>
        <v>0</v>
      </c>
      <c r="AD52" s="109">
        <f t="shared" si="38"/>
        <v>0</v>
      </c>
      <c r="AE52" s="109">
        <f t="shared" si="38"/>
        <v>0</v>
      </c>
      <c r="AF52" s="109">
        <f t="shared" si="38"/>
        <v>0</v>
      </c>
      <c r="AG52" s="110">
        <f t="shared" si="38"/>
        <v>0</v>
      </c>
      <c r="AN52" s="127"/>
    </row>
    <row r="53" spans="2:40" x14ac:dyDescent="0.3">
      <c r="B53" s="130"/>
      <c r="T53" s="127"/>
      <c r="V53" s="130"/>
      <c r="AA53"/>
      <c r="AB53"/>
      <c r="AC53"/>
      <c r="AD53"/>
      <c r="AE53"/>
      <c r="AF53"/>
      <c r="AN53" s="127"/>
    </row>
    <row r="54" spans="2:40" x14ac:dyDescent="0.3">
      <c r="B54" s="130"/>
      <c r="T54" s="127"/>
      <c r="V54" s="130"/>
      <c r="AA54"/>
      <c r="AB54"/>
      <c r="AC54"/>
      <c r="AD54"/>
      <c r="AE54"/>
      <c r="AF54"/>
      <c r="AN54" s="127"/>
    </row>
    <row r="55" spans="2:40" x14ac:dyDescent="0.3">
      <c r="B55" s="130"/>
      <c r="T55" s="127"/>
      <c r="V55" s="130"/>
      <c r="AA55"/>
      <c r="AB55"/>
      <c r="AC55"/>
      <c r="AD55"/>
      <c r="AE55"/>
      <c r="AF55"/>
      <c r="AN55" s="127"/>
    </row>
    <row r="56" spans="2:40" x14ac:dyDescent="0.3">
      <c r="B56" s="130"/>
      <c r="T56" s="127"/>
      <c r="V56" s="130"/>
      <c r="AA56"/>
      <c r="AB56"/>
      <c r="AC56"/>
      <c r="AD56"/>
      <c r="AE56"/>
      <c r="AF56"/>
      <c r="AN56" s="127"/>
    </row>
    <row r="57" spans="2:40" x14ac:dyDescent="0.3">
      <c r="B57" s="130"/>
      <c r="T57" s="127"/>
      <c r="V57" s="130"/>
      <c r="AA57"/>
      <c r="AB57"/>
      <c r="AC57"/>
      <c r="AD57"/>
      <c r="AE57"/>
      <c r="AF57"/>
      <c r="AN57" s="127"/>
    </row>
    <row r="58" spans="2:40" x14ac:dyDescent="0.3">
      <c r="B58" s="130"/>
      <c r="T58" s="127"/>
      <c r="V58" s="130"/>
      <c r="AA58"/>
      <c r="AB58"/>
      <c r="AC58"/>
      <c r="AD58"/>
      <c r="AE58"/>
      <c r="AF58"/>
      <c r="AN58" s="127"/>
    </row>
    <row r="59" spans="2:40" x14ac:dyDescent="0.3">
      <c r="B59" s="130"/>
      <c r="T59" s="127"/>
      <c r="V59" s="130"/>
      <c r="AA59"/>
      <c r="AB59"/>
      <c r="AC59"/>
      <c r="AD59"/>
      <c r="AE59"/>
      <c r="AF59"/>
      <c r="AN59" s="127"/>
    </row>
    <row r="60" spans="2:40" x14ac:dyDescent="0.3">
      <c r="B60" s="130"/>
      <c r="T60" s="127"/>
      <c r="V60" s="130"/>
      <c r="AA60"/>
      <c r="AB60"/>
      <c r="AC60"/>
      <c r="AD60"/>
      <c r="AE60"/>
      <c r="AF60"/>
      <c r="AN60" s="127"/>
    </row>
    <row r="61" spans="2:40" x14ac:dyDescent="0.3">
      <c r="B61" s="130"/>
      <c r="T61" s="127"/>
      <c r="V61" s="130"/>
      <c r="AA61"/>
      <c r="AB61"/>
      <c r="AC61"/>
      <c r="AD61"/>
      <c r="AE61"/>
      <c r="AF61"/>
      <c r="AN61" s="127"/>
    </row>
    <row r="62" spans="2:40" x14ac:dyDescent="0.3">
      <c r="B62" s="130"/>
      <c r="T62" s="127"/>
      <c r="V62" s="130"/>
      <c r="AA62"/>
      <c r="AB62"/>
      <c r="AC62"/>
      <c r="AD62"/>
      <c r="AE62"/>
      <c r="AF62"/>
      <c r="AN62" s="127"/>
    </row>
    <row r="63" spans="2:40" x14ac:dyDescent="0.3">
      <c r="B63" s="130"/>
      <c r="T63" s="127"/>
      <c r="V63" s="130"/>
      <c r="AA63"/>
      <c r="AB63"/>
      <c r="AC63"/>
      <c r="AD63"/>
      <c r="AE63"/>
      <c r="AF63"/>
      <c r="AN63" s="127"/>
    </row>
    <row r="64" spans="2:40" x14ac:dyDescent="0.3">
      <c r="B64" s="130"/>
      <c r="T64" s="127"/>
      <c r="V64" s="130"/>
      <c r="AA64"/>
      <c r="AB64"/>
      <c r="AC64"/>
      <c r="AD64"/>
      <c r="AE64"/>
      <c r="AF64"/>
      <c r="AN64" s="127"/>
    </row>
    <row r="65" spans="2:40" x14ac:dyDescent="0.3">
      <c r="B65" s="130"/>
      <c r="T65" s="127"/>
      <c r="V65" s="130"/>
      <c r="AA65"/>
      <c r="AB65"/>
      <c r="AC65"/>
      <c r="AD65"/>
      <c r="AE65"/>
      <c r="AF65"/>
      <c r="AN65" s="127"/>
    </row>
    <row r="66" spans="2:40" x14ac:dyDescent="0.3">
      <c r="B66" s="130"/>
      <c r="T66" s="127"/>
      <c r="V66" s="130"/>
      <c r="AA66"/>
      <c r="AB66"/>
      <c r="AC66"/>
      <c r="AD66"/>
      <c r="AE66"/>
      <c r="AF66"/>
      <c r="AN66" s="127"/>
    </row>
    <row r="67" spans="2:40" x14ac:dyDescent="0.3">
      <c r="B67" s="130"/>
      <c r="T67" s="127"/>
      <c r="V67" s="130"/>
      <c r="AA67"/>
      <c r="AB67"/>
      <c r="AC67"/>
      <c r="AD67"/>
      <c r="AE67"/>
      <c r="AF67"/>
      <c r="AN67" s="127"/>
    </row>
    <row r="68" spans="2:40" ht="15" thickBot="1" x14ac:dyDescent="0.35">
      <c r="B68" s="134"/>
      <c r="C68" s="135"/>
      <c r="D68" s="135"/>
      <c r="E68" s="135"/>
      <c r="F68" s="135"/>
      <c r="G68" s="135"/>
      <c r="H68" s="135"/>
      <c r="I68" s="135"/>
      <c r="J68" s="135"/>
      <c r="K68" s="135"/>
      <c r="L68" s="135"/>
      <c r="M68" s="135"/>
      <c r="N68" s="135"/>
      <c r="O68" s="135"/>
      <c r="P68" s="135"/>
      <c r="Q68" s="135"/>
      <c r="R68" s="135"/>
      <c r="S68" s="135"/>
      <c r="T68" s="136"/>
      <c r="V68" s="134"/>
      <c r="W68" s="135"/>
      <c r="X68" s="135"/>
      <c r="Y68" s="135"/>
      <c r="Z68" s="135"/>
      <c r="AA68" s="135"/>
      <c r="AB68" s="135"/>
      <c r="AC68" s="135"/>
      <c r="AD68" s="135"/>
      <c r="AE68" s="135"/>
      <c r="AF68" s="135"/>
      <c r="AG68" s="135"/>
      <c r="AH68" s="135"/>
      <c r="AI68" s="135"/>
      <c r="AJ68" s="135"/>
      <c r="AK68" s="135"/>
      <c r="AL68" s="135"/>
      <c r="AM68" s="135"/>
      <c r="AN68" s="136"/>
    </row>
    <row r="69" spans="2:40" ht="15" thickBot="1" x14ac:dyDescent="0.35"/>
    <row r="70" spans="2:40" x14ac:dyDescent="0.3">
      <c r="B70" s="122"/>
      <c r="C70" s="123" t="s">
        <v>33</v>
      </c>
      <c r="D70" s="124"/>
      <c r="E70" s="124"/>
      <c r="F70" s="124"/>
      <c r="G70" s="124"/>
      <c r="H70" s="124"/>
      <c r="I70" s="124"/>
      <c r="J70" s="124"/>
      <c r="K70" s="124"/>
      <c r="L70" s="124"/>
      <c r="M70" s="124"/>
      <c r="N70" s="124"/>
      <c r="O70" s="124"/>
      <c r="P70" s="124"/>
      <c r="Q70" s="124"/>
      <c r="R70" s="124"/>
      <c r="S70" s="124"/>
      <c r="T70" s="125"/>
    </row>
    <row r="71" spans="2:40" ht="15" thickBot="1" x14ac:dyDescent="0.35">
      <c r="B71" s="126" t="s">
        <v>20</v>
      </c>
      <c r="C71" s="12" t="s">
        <v>10</v>
      </c>
      <c r="D71" s="12" t="s">
        <v>32</v>
      </c>
      <c r="E71" s="12">
        <v>2000</v>
      </c>
      <c r="F71" s="12">
        <v>2010</v>
      </c>
      <c r="G71" s="12">
        <v>2020</v>
      </c>
      <c r="H71" s="12">
        <v>2030</v>
      </c>
      <c r="I71" s="12">
        <v>2040</v>
      </c>
      <c r="J71" s="12">
        <v>2050</v>
      </c>
      <c r="K71" s="12">
        <v>2060</v>
      </c>
      <c r="L71" s="12">
        <v>2070</v>
      </c>
      <c r="M71" s="12">
        <v>2080</v>
      </c>
      <c r="T71" s="127"/>
    </row>
    <row r="72" spans="2:40" ht="15" customHeight="1" thickTop="1" x14ac:dyDescent="0.3">
      <c r="B72" s="128">
        <v>2</v>
      </c>
      <c r="C72" s="102" t="s">
        <v>11</v>
      </c>
      <c r="D72" s="106" t="s">
        <v>0</v>
      </c>
      <c r="E72" s="107">
        <f>$B72*E$18</f>
        <v>2</v>
      </c>
      <c r="F72" s="107">
        <f t="shared" ref="F72:M76" si="39">$B72*F$18</f>
        <v>2</v>
      </c>
      <c r="G72" s="107">
        <f t="shared" si="39"/>
        <v>2</v>
      </c>
      <c r="H72" s="107">
        <f t="shared" si="39"/>
        <v>2</v>
      </c>
      <c r="I72" s="107">
        <f t="shared" si="39"/>
        <v>2</v>
      </c>
      <c r="J72" s="107">
        <f t="shared" si="39"/>
        <v>2</v>
      </c>
      <c r="K72" s="107">
        <f t="shared" si="39"/>
        <v>0</v>
      </c>
      <c r="L72" s="107">
        <f t="shared" si="39"/>
        <v>0</v>
      </c>
      <c r="M72" s="107">
        <f t="shared" si="39"/>
        <v>0</v>
      </c>
      <c r="T72" s="127"/>
    </row>
    <row r="73" spans="2:40" x14ac:dyDescent="0.3">
      <c r="B73" s="128">
        <v>2.5</v>
      </c>
      <c r="C73" s="102" t="s">
        <v>11</v>
      </c>
      <c r="D73" s="106" t="s">
        <v>18</v>
      </c>
      <c r="E73" s="107">
        <f t="shared" ref="E73:E76" si="40">$B73*E$18</f>
        <v>2.5</v>
      </c>
      <c r="F73" s="107">
        <f t="shared" si="39"/>
        <v>2.5</v>
      </c>
      <c r="G73" s="107">
        <f t="shared" si="39"/>
        <v>2.5</v>
      </c>
      <c r="H73" s="107">
        <f t="shared" si="39"/>
        <v>2.5</v>
      </c>
      <c r="I73" s="107">
        <f t="shared" si="39"/>
        <v>2.5</v>
      </c>
      <c r="J73" s="107">
        <f t="shared" si="39"/>
        <v>2.5</v>
      </c>
      <c r="K73" s="107">
        <f t="shared" si="39"/>
        <v>0</v>
      </c>
      <c r="L73" s="107">
        <f t="shared" si="39"/>
        <v>0</v>
      </c>
      <c r="M73" s="107">
        <f t="shared" si="39"/>
        <v>0</v>
      </c>
      <c r="T73" s="127"/>
    </row>
    <row r="74" spans="2:40" x14ac:dyDescent="0.3">
      <c r="B74" s="128">
        <v>1</v>
      </c>
      <c r="C74" s="102" t="s">
        <v>11</v>
      </c>
      <c r="D74" s="106" t="s">
        <v>2</v>
      </c>
      <c r="E74" s="107">
        <f t="shared" si="40"/>
        <v>1</v>
      </c>
      <c r="F74" s="107">
        <f t="shared" si="39"/>
        <v>1</v>
      </c>
      <c r="G74" s="107">
        <f t="shared" si="39"/>
        <v>1</v>
      </c>
      <c r="H74" s="107">
        <f t="shared" si="39"/>
        <v>1</v>
      </c>
      <c r="I74" s="107">
        <f t="shared" si="39"/>
        <v>1</v>
      </c>
      <c r="J74" s="107">
        <f t="shared" si="39"/>
        <v>1</v>
      </c>
      <c r="K74" s="107">
        <f t="shared" si="39"/>
        <v>0</v>
      </c>
      <c r="L74" s="107">
        <f t="shared" si="39"/>
        <v>0</v>
      </c>
      <c r="M74" s="107">
        <f t="shared" si="39"/>
        <v>0</v>
      </c>
      <c r="T74" s="127"/>
    </row>
    <row r="75" spans="2:40" x14ac:dyDescent="0.3">
      <c r="B75" s="128">
        <v>1</v>
      </c>
      <c r="C75" s="102" t="s">
        <v>11</v>
      </c>
      <c r="D75" s="106" t="s">
        <v>3</v>
      </c>
      <c r="E75" s="107">
        <f t="shared" si="40"/>
        <v>1</v>
      </c>
      <c r="F75" s="107">
        <f t="shared" si="39"/>
        <v>1</v>
      </c>
      <c r="G75" s="107">
        <f t="shared" si="39"/>
        <v>1</v>
      </c>
      <c r="H75" s="107">
        <f t="shared" si="39"/>
        <v>1</v>
      </c>
      <c r="I75" s="107">
        <f t="shared" si="39"/>
        <v>1</v>
      </c>
      <c r="J75" s="107">
        <f t="shared" si="39"/>
        <v>1</v>
      </c>
      <c r="K75" s="107">
        <f t="shared" si="39"/>
        <v>0</v>
      </c>
      <c r="L75" s="107">
        <f t="shared" si="39"/>
        <v>0</v>
      </c>
      <c r="M75" s="107">
        <f t="shared" si="39"/>
        <v>0</v>
      </c>
      <c r="T75" s="127"/>
    </row>
    <row r="76" spans="2:40" x14ac:dyDescent="0.3">
      <c r="B76" s="129">
        <v>6.5</v>
      </c>
      <c r="C76" s="103" t="s">
        <v>11</v>
      </c>
      <c r="D76" s="1" t="s">
        <v>4</v>
      </c>
      <c r="E76" s="109">
        <f t="shared" si="40"/>
        <v>6.5</v>
      </c>
      <c r="F76" s="109">
        <f t="shared" si="39"/>
        <v>6.5</v>
      </c>
      <c r="G76" s="109">
        <f t="shared" si="39"/>
        <v>6.5</v>
      </c>
      <c r="H76" s="109">
        <f t="shared" si="39"/>
        <v>6.5</v>
      </c>
      <c r="I76" s="109">
        <f t="shared" si="39"/>
        <v>6.5</v>
      </c>
      <c r="J76" s="109">
        <f t="shared" si="39"/>
        <v>6.5</v>
      </c>
      <c r="K76" s="109">
        <f t="shared" si="39"/>
        <v>0</v>
      </c>
      <c r="L76" s="109">
        <f t="shared" si="39"/>
        <v>0</v>
      </c>
      <c r="M76" s="109">
        <f t="shared" si="39"/>
        <v>0</v>
      </c>
      <c r="T76" s="127"/>
    </row>
    <row r="77" spans="2:40" x14ac:dyDescent="0.3">
      <c r="B77" s="130"/>
      <c r="T77" s="127"/>
    </row>
    <row r="78" spans="2:40" x14ac:dyDescent="0.3">
      <c r="B78" s="130"/>
      <c r="C78" s="102" t="s">
        <v>34</v>
      </c>
      <c r="T78" s="127"/>
    </row>
    <row r="79" spans="2:40" ht="15" thickBot="1" x14ac:dyDescent="0.35">
      <c r="B79" s="126" t="s">
        <v>20</v>
      </c>
      <c r="C79" s="12" t="s">
        <v>10</v>
      </c>
      <c r="D79" s="12" t="s">
        <v>32</v>
      </c>
      <c r="E79" s="12">
        <v>2000</v>
      </c>
      <c r="F79" s="12">
        <v>2010</v>
      </c>
      <c r="G79" s="12">
        <v>2020</v>
      </c>
      <c r="H79" s="12">
        <v>2030</v>
      </c>
      <c r="I79" s="12">
        <v>2040</v>
      </c>
      <c r="J79" s="12">
        <v>2050</v>
      </c>
      <c r="K79" s="12">
        <v>2060</v>
      </c>
      <c r="L79" s="12">
        <v>2070</v>
      </c>
      <c r="M79" s="12">
        <v>2080</v>
      </c>
      <c r="T79" s="127"/>
    </row>
    <row r="80" spans="2:40" ht="15" thickTop="1" x14ac:dyDescent="0.3">
      <c r="B80" s="128">
        <v>12</v>
      </c>
      <c r="C80" s="102" t="s">
        <v>21</v>
      </c>
      <c r="D80" s="106" t="s">
        <v>0</v>
      </c>
      <c r="E80" s="107">
        <f>$B80*E$22</f>
        <v>0</v>
      </c>
      <c r="F80" s="107">
        <f t="shared" ref="F80:M84" si="41">$B80*F$22</f>
        <v>0</v>
      </c>
      <c r="G80" s="107">
        <f t="shared" si="41"/>
        <v>0</v>
      </c>
      <c r="H80" s="107">
        <f t="shared" si="41"/>
        <v>0</v>
      </c>
      <c r="I80" s="107">
        <f t="shared" si="41"/>
        <v>0</v>
      </c>
      <c r="J80" s="107">
        <f t="shared" si="41"/>
        <v>0</v>
      </c>
      <c r="K80" s="107">
        <f t="shared" si="41"/>
        <v>0</v>
      </c>
      <c r="L80" s="107">
        <f t="shared" si="41"/>
        <v>0</v>
      </c>
      <c r="M80" s="107">
        <f t="shared" si="41"/>
        <v>0</v>
      </c>
      <c r="T80" s="127"/>
    </row>
    <row r="81" spans="2:20" x14ac:dyDescent="0.3">
      <c r="B81" s="128">
        <v>0</v>
      </c>
      <c r="C81" s="102" t="s">
        <v>21</v>
      </c>
      <c r="D81" s="106" t="s">
        <v>18</v>
      </c>
      <c r="E81" s="107">
        <f t="shared" ref="E81:E84" si="42">$B81*E$22</f>
        <v>0</v>
      </c>
      <c r="F81" s="107">
        <f t="shared" si="41"/>
        <v>0</v>
      </c>
      <c r="G81" s="107">
        <f t="shared" si="41"/>
        <v>0</v>
      </c>
      <c r="H81" s="107">
        <f t="shared" si="41"/>
        <v>0</v>
      </c>
      <c r="I81" s="107">
        <f t="shared" si="41"/>
        <v>0</v>
      </c>
      <c r="J81" s="107">
        <f t="shared" si="41"/>
        <v>0</v>
      </c>
      <c r="K81" s="107">
        <f t="shared" si="41"/>
        <v>0</v>
      </c>
      <c r="L81" s="107">
        <f t="shared" si="41"/>
        <v>0</v>
      </c>
      <c r="M81" s="107">
        <f t="shared" si="41"/>
        <v>0</v>
      </c>
      <c r="T81" s="127"/>
    </row>
    <row r="82" spans="2:20" x14ac:dyDescent="0.3">
      <c r="B82" s="128">
        <v>4</v>
      </c>
      <c r="C82" s="102" t="s">
        <v>21</v>
      </c>
      <c r="D82" s="106" t="s">
        <v>2</v>
      </c>
      <c r="E82" s="107">
        <f t="shared" si="42"/>
        <v>0</v>
      </c>
      <c r="F82" s="107">
        <f t="shared" si="41"/>
        <v>0</v>
      </c>
      <c r="G82" s="107">
        <f t="shared" si="41"/>
        <v>0</v>
      </c>
      <c r="H82" s="107">
        <f t="shared" si="41"/>
        <v>0</v>
      </c>
      <c r="I82" s="107">
        <f t="shared" si="41"/>
        <v>0</v>
      </c>
      <c r="J82" s="107">
        <f t="shared" si="41"/>
        <v>0</v>
      </c>
      <c r="K82" s="107">
        <f t="shared" si="41"/>
        <v>0</v>
      </c>
      <c r="L82" s="107">
        <f t="shared" si="41"/>
        <v>0</v>
      </c>
      <c r="M82" s="107">
        <f t="shared" si="41"/>
        <v>0</v>
      </c>
      <c r="T82" s="127"/>
    </row>
    <row r="83" spans="2:20" x14ac:dyDescent="0.3">
      <c r="B83" s="128">
        <v>2</v>
      </c>
      <c r="C83" s="102" t="s">
        <v>21</v>
      </c>
      <c r="D83" s="106" t="s">
        <v>3</v>
      </c>
      <c r="E83" s="107">
        <f t="shared" si="42"/>
        <v>0</v>
      </c>
      <c r="F83" s="107">
        <f t="shared" si="41"/>
        <v>0</v>
      </c>
      <c r="G83" s="107">
        <f t="shared" si="41"/>
        <v>0</v>
      </c>
      <c r="H83" s="107">
        <f t="shared" si="41"/>
        <v>0</v>
      </c>
      <c r="I83" s="107">
        <f t="shared" si="41"/>
        <v>0</v>
      </c>
      <c r="J83" s="107">
        <f t="shared" si="41"/>
        <v>0</v>
      </c>
      <c r="K83" s="107">
        <f t="shared" si="41"/>
        <v>0</v>
      </c>
      <c r="L83" s="107">
        <f t="shared" si="41"/>
        <v>0</v>
      </c>
      <c r="M83" s="107">
        <f t="shared" si="41"/>
        <v>0</v>
      </c>
      <c r="T83" s="127"/>
    </row>
    <row r="84" spans="2:20" x14ac:dyDescent="0.3">
      <c r="B84" s="129">
        <v>18</v>
      </c>
      <c r="C84" s="103" t="s">
        <v>21</v>
      </c>
      <c r="D84" s="1" t="s">
        <v>4</v>
      </c>
      <c r="E84" s="109">
        <f t="shared" si="42"/>
        <v>0</v>
      </c>
      <c r="F84" s="109">
        <f t="shared" si="41"/>
        <v>0</v>
      </c>
      <c r="G84" s="109">
        <f t="shared" si="41"/>
        <v>0</v>
      </c>
      <c r="H84" s="109">
        <f t="shared" si="41"/>
        <v>0</v>
      </c>
      <c r="I84" s="109">
        <f t="shared" si="41"/>
        <v>0</v>
      </c>
      <c r="J84" s="109">
        <f t="shared" si="41"/>
        <v>0</v>
      </c>
      <c r="K84" s="109">
        <f t="shared" si="41"/>
        <v>0</v>
      </c>
      <c r="L84" s="109">
        <f t="shared" si="41"/>
        <v>0</v>
      </c>
      <c r="M84" s="109">
        <f t="shared" si="41"/>
        <v>0</v>
      </c>
      <c r="T84" s="127"/>
    </row>
    <row r="85" spans="2:20" x14ac:dyDescent="0.3">
      <c r="B85" s="130"/>
      <c r="T85" s="127"/>
    </row>
    <row r="86" spans="2:20" x14ac:dyDescent="0.3">
      <c r="B86" s="130"/>
      <c r="C86" s="102" t="s">
        <v>55</v>
      </c>
      <c r="T86" s="127"/>
    </row>
    <row r="87" spans="2:20" ht="15" thickBot="1" x14ac:dyDescent="0.35">
      <c r="B87" s="130"/>
      <c r="C87" s="12" t="s">
        <v>10</v>
      </c>
      <c r="D87" s="12" t="s">
        <v>32</v>
      </c>
      <c r="E87" s="12">
        <v>2000</v>
      </c>
      <c r="F87" s="12">
        <v>2010</v>
      </c>
      <c r="G87" s="12">
        <v>2020</v>
      </c>
      <c r="H87" s="12">
        <v>2030</v>
      </c>
      <c r="I87" s="12">
        <v>2040</v>
      </c>
      <c r="J87" s="12">
        <v>2050</v>
      </c>
      <c r="K87" s="12">
        <v>2060</v>
      </c>
      <c r="L87" s="12">
        <v>2070</v>
      </c>
      <c r="M87" s="12">
        <v>2080</v>
      </c>
      <c r="T87" s="127"/>
    </row>
    <row r="88" spans="2:20" ht="15" thickTop="1" x14ac:dyDescent="0.3">
      <c r="B88" s="130"/>
      <c r="C88" s="102" t="s">
        <v>56</v>
      </c>
      <c r="D88" s="106" t="s">
        <v>0</v>
      </c>
      <c r="E88" s="107">
        <f>E72+E80</f>
        <v>2</v>
      </c>
      <c r="F88" s="107">
        <f t="shared" ref="F88:M88" si="43">F72+F80</f>
        <v>2</v>
      </c>
      <c r="G88" s="107">
        <f t="shared" si="43"/>
        <v>2</v>
      </c>
      <c r="H88" s="107">
        <f t="shared" si="43"/>
        <v>2</v>
      </c>
      <c r="I88" s="107">
        <f t="shared" si="43"/>
        <v>2</v>
      </c>
      <c r="J88" s="107">
        <f t="shared" si="43"/>
        <v>2</v>
      </c>
      <c r="K88" s="107">
        <f t="shared" si="43"/>
        <v>0</v>
      </c>
      <c r="L88" s="107">
        <f t="shared" si="43"/>
        <v>0</v>
      </c>
      <c r="M88" s="107">
        <f t="shared" si="43"/>
        <v>0</v>
      </c>
      <c r="T88" s="127"/>
    </row>
    <row r="89" spans="2:20" x14ac:dyDescent="0.3">
      <c r="B89" s="130"/>
      <c r="C89" s="102" t="s">
        <v>56</v>
      </c>
      <c r="D89" s="106" t="s">
        <v>18</v>
      </c>
      <c r="E89" s="107">
        <f t="shared" ref="E89:M89" si="44">E73+E81</f>
        <v>2.5</v>
      </c>
      <c r="F89" s="107">
        <f t="shared" si="44"/>
        <v>2.5</v>
      </c>
      <c r="G89" s="107">
        <f t="shared" si="44"/>
        <v>2.5</v>
      </c>
      <c r="H89" s="107">
        <f t="shared" si="44"/>
        <v>2.5</v>
      </c>
      <c r="I89" s="107">
        <f t="shared" si="44"/>
        <v>2.5</v>
      </c>
      <c r="J89" s="107">
        <f t="shared" si="44"/>
        <v>2.5</v>
      </c>
      <c r="K89" s="107">
        <f t="shared" si="44"/>
        <v>0</v>
      </c>
      <c r="L89" s="107">
        <f t="shared" si="44"/>
        <v>0</v>
      </c>
      <c r="M89" s="107">
        <f t="shared" si="44"/>
        <v>0</v>
      </c>
      <c r="T89" s="127"/>
    </row>
    <row r="90" spans="2:20" x14ac:dyDescent="0.3">
      <c r="B90" s="130"/>
      <c r="C90" s="102" t="s">
        <v>56</v>
      </c>
      <c r="D90" s="106" t="s">
        <v>2</v>
      </c>
      <c r="E90" s="107">
        <f t="shared" ref="E90:M90" si="45">E74+E82</f>
        <v>1</v>
      </c>
      <c r="F90" s="107">
        <f t="shared" si="45"/>
        <v>1</v>
      </c>
      <c r="G90" s="107">
        <f t="shared" si="45"/>
        <v>1</v>
      </c>
      <c r="H90" s="107">
        <f t="shared" si="45"/>
        <v>1</v>
      </c>
      <c r="I90" s="107">
        <f t="shared" si="45"/>
        <v>1</v>
      </c>
      <c r="J90" s="107">
        <f t="shared" si="45"/>
        <v>1</v>
      </c>
      <c r="K90" s="107">
        <f t="shared" si="45"/>
        <v>0</v>
      </c>
      <c r="L90" s="107">
        <f t="shared" si="45"/>
        <v>0</v>
      </c>
      <c r="M90" s="107">
        <f t="shared" si="45"/>
        <v>0</v>
      </c>
      <c r="T90" s="127"/>
    </row>
    <row r="91" spans="2:20" x14ac:dyDescent="0.3">
      <c r="B91" s="130"/>
      <c r="C91" s="102" t="s">
        <v>56</v>
      </c>
      <c r="D91" s="106" t="s">
        <v>3</v>
      </c>
      <c r="E91" s="107">
        <f t="shared" ref="E91:M91" si="46">E75+E83</f>
        <v>1</v>
      </c>
      <c r="F91" s="107">
        <f t="shared" si="46"/>
        <v>1</v>
      </c>
      <c r="G91" s="107">
        <f t="shared" si="46"/>
        <v>1</v>
      </c>
      <c r="H91" s="107">
        <f t="shared" si="46"/>
        <v>1</v>
      </c>
      <c r="I91" s="107">
        <f t="shared" si="46"/>
        <v>1</v>
      </c>
      <c r="J91" s="107">
        <f t="shared" si="46"/>
        <v>1</v>
      </c>
      <c r="K91" s="107">
        <f t="shared" si="46"/>
        <v>0</v>
      </c>
      <c r="L91" s="107">
        <f t="shared" si="46"/>
        <v>0</v>
      </c>
      <c r="M91" s="107">
        <f t="shared" si="46"/>
        <v>0</v>
      </c>
      <c r="T91" s="127"/>
    </row>
    <row r="92" spans="2:20" x14ac:dyDescent="0.3">
      <c r="B92" s="130"/>
      <c r="C92" s="103" t="s">
        <v>56</v>
      </c>
      <c r="D92" s="1" t="s">
        <v>4</v>
      </c>
      <c r="E92" s="109">
        <f t="shared" ref="E92:M92" si="47">E76+E84</f>
        <v>6.5</v>
      </c>
      <c r="F92" s="109">
        <f t="shared" si="47"/>
        <v>6.5</v>
      </c>
      <c r="G92" s="109">
        <f t="shared" si="47"/>
        <v>6.5</v>
      </c>
      <c r="H92" s="109">
        <f t="shared" si="47"/>
        <v>6.5</v>
      </c>
      <c r="I92" s="109">
        <f t="shared" si="47"/>
        <v>6.5</v>
      </c>
      <c r="J92" s="109">
        <f t="shared" si="47"/>
        <v>6.5</v>
      </c>
      <c r="K92" s="109">
        <f t="shared" si="47"/>
        <v>0</v>
      </c>
      <c r="L92" s="109">
        <f t="shared" si="47"/>
        <v>0</v>
      </c>
      <c r="M92" s="109">
        <f t="shared" si="47"/>
        <v>0</v>
      </c>
      <c r="T92" s="127"/>
    </row>
    <row r="93" spans="2:20" x14ac:dyDescent="0.3">
      <c r="B93" s="130"/>
      <c r="T93" s="127"/>
    </row>
    <row r="94" spans="2:20" x14ac:dyDescent="0.3">
      <c r="B94" s="130"/>
      <c r="T94" s="127"/>
    </row>
    <row r="95" spans="2:20" x14ac:dyDescent="0.3">
      <c r="B95" s="130"/>
      <c r="T95" s="127"/>
    </row>
    <row r="96" spans="2:20" x14ac:dyDescent="0.3">
      <c r="B96" s="130"/>
      <c r="T96" s="127"/>
    </row>
    <row r="97" spans="2:40" x14ac:dyDescent="0.3">
      <c r="B97" s="130"/>
      <c r="T97" s="127"/>
    </row>
    <row r="98" spans="2:40" x14ac:dyDescent="0.3">
      <c r="B98" s="130"/>
      <c r="T98" s="127"/>
    </row>
    <row r="99" spans="2:40" x14ac:dyDescent="0.3">
      <c r="B99" s="130"/>
      <c r="T99" s="127"/>
    </row>
    <row r="100" spans="2:40" x14ac:dyDescent="0.3">
      <c r="B100" s="130"/>
      <c r="T100" s="127"/>
    </row>
    <row r="101" spans="2:40" x14ac:dyDescent="0.3">
      <c r="B101" s="130"/>
      <c r="T101" s="127"/>
    </row>
    <row r="102" spans="2:40" x14ac:dyDescent="0.3">
      <c r="B102" s="130"/>
      <c r="T102" s="127"/>
    </row>
    <row r="103" spans="2:40" x14ac:dyDescent="0.3">
      <c r="B103" s="130"/>
      <c r="T103" s="127"/>
    </row>
    <row r="104" spans="2:40" x14ac:dyDescent="0.3">
      <c r="B104" s="130"/>
      <c r="T104" s="127"/>
    </row>
    <row r="105" spans="2:40" x14ac:dyDescent="0.3">
      <c r="B105" s="130"/>
      <c r="T105" s="127"/>
    </row>
    <row r="106" spans="2:40" x14ac:dyDescent="0.3">
      <c r="B106" s="130"/>
      <c r="T106" s="127"/>
    </row>
    <row r="107" spans="2:40" x14ac:dyDescent="0.3">
      <c r="B107" s="130"/>
      <c r="T107" s="127"/>
    </row>
    <row r="108" spans="2:40" ht="15" thickBot="1" x14ac:dyDescent="0.35">
      <c r="B108" s="134"/>
      <c r="C108" s="135"/>
      <c r="D108" s="135"/>
      <c r="E108" s="135"/>
      <c r="F108" s="135"/>
      <c r="G108" s="135"/>
      <c r="H108" s="135"/>
      <c r="I108" s="135"/>
      <c r="J108" s="135"/>
      <c r="K108" s="135"/>
      <c r="L108" s="135"/>
      <c r="M108" s="135"/>
      <c r="N108" s="135"/>
      <c r="O108" s="135"/>
      <c r="P108" s="135"/>
      <c r="Q108" s="135"/>
      <c r="R108" s="135"/>
      <c r="S108" s="135"/>
      <c r="T108" s="136"/>
    </row>
    <row r="110" spans="2:40" ht="15" thickBot="1" x14ac:dyDescent="0.35"/>
    <row r="111" spans="2:40" x14ac:dyDescent="0.3">
      <c r="B111" s="122"/>
      <c r="C111" s="123" t="s">
        <v>63</v>
      </c>
      <c r="D111" s="124"/>
      <c r="E111" s="124"/>
      <c r="F111" s="124"/>
      <c r="G111" s="124"/>
      <c r="H111" s="124"/>
      <c r="I111" s="124"/>
      <c r="J111" s="124"/>
      <c r="K111" s="124"/>
      <c r="L111" s="124"/>
      <c r="M111" s="124"/>
      <c r="N111" s="124"/>
      <c r="O111" s="124"/>
      <c r="P111" s="124"/>
      <c r="Q111" s="124"/>
      <c r="R111" s="124"/>
      <c r="S111" s="124"/>
      <c r="T111" s="125"/>
      <c r="V111" s="122"/>
      <c r="W111" s="123" t="s">
        <v>60</v>
      </c>
      <c r="X111" s="124"/>
      <c r="Y111" s="124"/>
      <c r="Z111" s="124"/>
      <c r="AA111" s="124"/>
      <c r="AB111" s="124"/>
      <c r="AC111" s="124"/>
      <c r="AD111" s="124"/>
      <c r="AE111" s="124"/>
      <c r="AF111" s="124"/>
      <c r="AG111" s="124"/>
      <c r="AH111" s="124"/>
      <c r="AI111" s="124"/>
      <c r="AJ111" s="124"/>
      <c r="AK111" s="124"/>
      <c r="AL111" s="124"/>
      <c r="AM111" s="124"/>
      <c r="AN111" s="125"/>
    </row>
    <row r="112" spans="2:40" ht="15" thickBot="1" x14ac:dyDescent="0.35">
      <c r="B112" s="126" t="s">
        <v>54</v>
      </c>
      <c r="C112" s="10" t="s">
        <v>10</v>
      </c>
      <c r="D112" s="12" t="s">
        <v>32</v>
      </c>
      <c r="E112" s="12">
        <v>2000</v>
      </c>
      <c r="F112" s="12">
        <v>2010</v>
      </c>
      <c r="G112" s="12">
        <v>2020</v>
      </c>
      <c r="H112" s="12">
        <v>2030</v>
      </c>
      <c r="I112" s="12">
        <v>2040</v>
      </c>
      <c r="J112" s="12">
        <v>2050</v>
      </c>
      <c r="K112" s="12">
        <v>2060</v>
      </c>
      <c r="L112" s="12">
        <v>2070</v>
      </c>
      <c r="M112" s="12">
        <v>2080</v>
      </c>
      <c r="T112" s="127"/>
      <c r="V112" s="137" t="s">
        <v>29</v>
      </c>
      <c r="W112" s="10" t="s">
        <v>10</v>
      </c>
      <c r="X112" s="12" t="s">
        <v>32</v>
      </c>
      <c r="Y112" s="12">
        <v>2000</v>
      </c>
      <c r="Z112" s="12">
        <v>2010</v>
      </c>
      <c r="AA112" s="12">
        <v>2020</v>
      </c>
      <c r="AB112" s="12">
        <v>2030</v>
      </c>
      <c r="AC112" s="12">
        <v>2040</v>
      </c>
      <c r="AD112" s="12">
        <v>2050</v>
      </c>
      <c r="AE112" s="12">
        <v>2060</v>
      </c>
      <c r="AF112" s="12">
        <v>2070</v>
      </c>
      <c r="AG112" s="12">
        <v>2080</v>
      </c>
      <c r="AN112" s="127"/>
    </row>
    <row r="113" spans="2:40" ht="15" thickTop="1" x14ac:dyDescent="0.3">
      <c r="B113" s="128">
        <v>2</v>
      </c>
      <c r="C113" s="22" t="s">
        <v>11</v>
      </c>
      <c r="D113" s="106" t="s">
        <v>0</v>
      </c>
      <c r="E113" s="107">
        <f t="shared" ref="E113:M117" si="48">$B113*E$17</f>
        <v>0</v>
      </c>
      <c r="F113" s="107">
        <f t="shared" si="48"/>
        <v>0</v>
      </c>
      <c r="G113" s="107">
        <f t="shared" si="48"/>
        <v>0</v>
      </c>
      <c r="H113" s="107">
        <f t="shared" si="48"/>
        <v>0</v>
      </c>
      <c r="I113" s="107">
        <f t="shared" si="48"/>
        <v>0</v>
      </c>
      <c r="J113" s="107">
        <f t="shared" si="48"/>
        <v>0</v>
      </c>
      <c r="K113" s="107">
        <f t="shared" si="48"/>
        <v>2</v>
      </c>
      <c r="L113" s="107">
        <f t="shared" si="48"/>
        <v>0</v>
      </c>
      <c r="M113" s="107">
        <f t="shared" si="48"/>
        <v>0</v>
      </c>
      <c r="T113" s="127"/>
      <c r="V113" s="138">
        <v>1</v>
      </c>
      <c r="W113" s="22" t="s">
        <v>11</v>
      </c>
      <c r="X113" s="106" t="s">
        <v>0</v>
      </c>
      <c r="Y113" s="107">
        <f t="shared" ref="Y113:AG117" si="49">$V113*E$17</f>
        <v>0</v>
      </c>
      <c r="Z113" s="107">
        <f t="shared" si="49"/>
        <v>0</v>
      </c>
      <c r="AA113" s="107">
        <f t="shared" si="49"/>
        <v>0</v>
      </c>
      <c r="AB113" s="107">
        <f t="shared" si="49"/>
        <v>0</v>
      </c>
      <c r="AC113" s="107">
        <f t="shared" si="49"/>
        <v>0</v>
      </c>
      <c r="AD113" s="107">
        <f t="shared" si="49"/>
        <v>0</v>
      </c>
      <c r="AE113" s="107">
        <f t="shared" si="49"/>
        <v>1</v>
      </c>
      <c r="AF113" s="107">
        <f t="shared" si="49"/>
        <v>0</v>
      </c>
      <c r="AG113" s="107">
        <f t="shared" si="49"/>
        <v>0</v>
      </c>
      <c r="AN113" s="127"/>
    </row>
    <row r="114" spans="2:40" x14ac:dyDescent="0.3">
      <c r="B114" s="128">
        <v>2.5</v>
      </c>
      <c r="C114" s="22" t="s">
        <v>11</v>
      </c>
      <c r="D114" s="106" t="s">
        <v>18</v>
      </c>
      <c r="E114" s="107">
        <f t="shared" si="48"/>
        <v>0</v>
      </c>
      <c r="F114" s="107">
        <f t="shared" si="48"/>
        <v>0</v>
      </c>
      <c r="G114" s="107">
        <f t="shared" si="48"/>
        <v>0</v>
      </c>
      <c r="H114" s="107">
        <f t="shared" si="48"/>
        <v>0</v>
      </c>
      <c r="I114" s="107">
        <f t="shared" si="48"/>
        <v>0</v>
      </c>
      <c r="J114" s="107">
        <f t="shared" si="48"/>
        <v>0</v>
      </c>
      <c r="K114" s="107">
        <f t="shared" si="48"/>
        <v>2.5</v>
      </c>
      <c r="L114" s="107">
        <f t="shared" si="48"/>
        <v>0</v>
      </c>
      <c r="M114" s="107">
        <f t="shared" si="48"/>
        <v>0</v>
      </c>
      <c r="T114" s="127"/>
      <c r="V114" s="138">
        <v>2</v>
      </c>
      <c r="W114" s="22" t="s">
        <v>11</v>
      </c>
      <c r="X114" s="106" t="s">
        <v>18</v>
      </c>
      <c r="Y114" s="107">
        <f t="shared" si="49"/>
        <v>0</v>
      </c>
      <c r="Z114" s="107">
        <f t="shared" si="49"/>
        <v>0</v>
      </c>
      <c r="AA114" s="107">
        <f t="shared" si="49"/>
        <v>0</v>
      </c>
      <c r="AB114" s="107">
        <f t="shared" si="49"/>
        <v>0</v>
      </c>
      <c r="AC114" s="107">
        <f t="shared" si="49"/>
        <v>0</v>
      </c>
      <c r="AD114" s="107">
        <f t="shared" si="49"/>
        <v>0</v>
      </c>
      <c r="AE114" s="107">
        <f t="shared" si="49"/>
        <v>2</v>
      </c>
      <c r="AF114" s="107">
        <f t="shared" si="49"/>
        <v>0</v>
      </c>
      <c r="AG114" s="107">
        <f t="shared" si="49"/>
        <v>0</v>
      </c>
      <c r="AN114" s="127"/>
    </row>
    <row r="115" spans="2:40" x14ac:dyDescent="0.3">
      <c r="B115" s="128">
        <v>1</v>
      </c>
      <c r="C115" s="22" t="s">
        <v>11</v>
      </c>
      <c r="D115" s="106" t="s">
        <v>2</v>
      </c>
      <c r="E115" s="107">
        <f t="shared" si="48"/>
        <v>0</v>
      </c>
      <c r="F115" s="107">
        <f t="shared" si="48"/>
        <v>0</v>
      </c>
      <c r="G115" s="107">
        <f t="shared" si="48"/>
        <v>0</v>
      </c>
      <c r="H115" s="107">
        <f t="shared" si="48"/>
        <v>0</v>
      </c>
      <c r="I115" s="107">
        <f t="shared" si="48"/>
        <v>0</v>
      </c>
      <c r="J115" s="107">
        <f t="shared" si="48"/>
        <v>0</v>
      </c>
      <c r="K115" s="107">
        <f t="shared" si="48"/>
        <v>1</v>
      </c>
      <c r="L115" s="107">
        <f t="shared" si="48"/>
        <v>0</v>
      </c>
      <c r="M115" s="107">
        <f t="shared" si="48"/>
        <v>0</v>
      </c>
      <c r="T115" s="127"/>
      <c r="V115" s="138">
        <v>1</v>
      </c>
      <c r="W115" s="22" t="s">
        <v>11</v>
      </c>
      <c r="X115" s="106" t="s">
        <v>2</v>
      </c>
      <c r="Y115" s="107">
        <f t="shared" si="49"/>
        <v>0</v>
      </c>
      <c r="Z115" s="107">
        <f t="shared" si="49"/>
        <v>0</v>
      </c>
      <c r="AA115" s="107">
        <f t="shared" si="49"/>
        <v>0</v>
      </c>
      <c r="AB115" s="107">
        <f t="shared" si="49"/>
        <v>0</v>
      </c>
      <c r="AC115" s="107">
        <f t="shared" si="49"/>
        <v>0</v>
      </c>
      <c r="AD115" s="107">
        <f t="shared" si="49"/>
        <v>0</v>
      </c>
      <c r="AE115" s="107">
        <f t="shared" si="49"/>
        <v>1</v>
      </c>
      <c r="AF115" s="107">
        <f t="shared" si="49"/>
        <v>0</v>
      </c>
      <c r="AG115" s="107">
        <f t="shared" si="49"/>
        <v>0</v>
      </c>
      <c r="AN115" s="127"/>
    </row>
    <row r="116" spans="2:40" x14ac:dyDescent="0.3">
      <c r="B116" s="128">
        <v>1</v>
      </c>
      <c r="C116" s="22" t="s">
        <v>11</v>
      </c>
      <c r="D116" s="106" t="s">
        <v>3</v>
      </c>
      <c r="E116" s="107">
        <f t="shared" si="48"/>
        <v>0</v>
      </c>
      <c r="F116" s="107">
        <f t="shared" si="48"/>
        <v>0</v>
      </c>
      <c r="G116" s="107">
        <f t="shared" si="48"/>
        <v>0</v>
      </c>
      <c r="H116" s="107">
        <f t="shared" si="48"/>
        <v>0</v>
      </c>
      <c r="I116" s="107">
        <f t="shared" si="48"/>
        <v>0</v>
      </c>
      <c r="J116" s="107">
        <f t="shared" si="48"/>
        <v>0</v>
      </c>
      <c r="K116" s="107">
        <f t="shared" si="48"/>
        <v>1</v>
      </c>
      <c r="L116" s="107">
        <f t="shared" si="48"/>
        <v>0</v>
      </c>
      <c r="M116" s="107">
        <f t="shared" si="48"/>
        <v>0</v>
      </c>
      <c r="T116" s="127"/>
      <c r="V116" s="138">
        <v>0</v>
      </c>
      <c r="W116" s="22" t="s">
        <v>11</v>
      </c>
      <c r="X116" s="106" t="s">
        <v>3</v>
      </c>
      <c r="Y116" s="107">
        <f t="shared" si="49"/>
        <v>0</v>
      </c>
      <c r="Z116" s="107">
        <f t="shared" si="49"/>
        <v>0</v>
      </c>
      <c r="AA116" s="107">
        <f t="shared" si="49"/>
        <v>0</v>
      </c>
      <c r="AB116" s="107">
        <f t="shared" si="49"/>
        <v>0</v>
      </c>
      <c r="AC116" s="107">
        <f t="shared" si="49"/>
        <v>0</v>
      </c>
      <c r="AD116" s="107">
        <f t="shared" si="49"/>
        <v>0</v>
      </c>
      <c r="AE116" s="107">
        <f t="shared" si="49"/>
        <v>0</v>
      </c>
      <c r="AF116" s="107">
        <f t="shared" si="49"/>
        <v>0</v>
      </c>
      <c r="AG116" s="107">
        <f t="shared" si="49"/>
        <v>0</v>
      </c>
      <c r="AN116" s="127"/>
    </row>
    <row r="117" spans="2:40" x14ac:dyDescent="0.3">
      <c r="B117" s="129">
        <v>6.5</v>
      </c>
      <c r="C117" s="23" t="s">
        <v>11</v>
      </c>
      <c r="D117" s="1" t="s">
        <v>4</v>
      </c>
      <c r="E117" s="109">
        <f t="shared" si="48"/>
        <v>0</v>
      </c>
      <c r="F117" s="109">
        <f t="shared" si="48"/>
        <v>0</v>
      </c>
      <c r="G117" s="109">
        <f t="shared" si="48"/>
        <v>0</v>
      </c>
      <c r="H117" s="109">
        <f t="shared" si="48"/>
        <v>0</v>
      </c>
      <c r="I117" s="109">
        <f t="shared" si="48"/>
        <v>0</v>
      </c>
      <c r="J117" s="109">
        <f t="shared" si="48"/>
        <v>0</v>
      </c>
      <c r="K117" s="109">
        <f t="shared" si="48"/>
        <v>6.5</v>
      </c>
      <c r="L117" s="109">
        <f t="shared" si="48"/>
        <v>0</v>
      </c>
      <c r="M117" s="109">
        <f t="shared" si="48"/>
        <v>0</v>
      </c>
      <c r="T117" s="127"/>
      <c r="V117" s="139">
        <v>4</v>
      </c>
      <c r="W117" s="23" t="s">
        <v>11</v>
      </c>
      <c r="X117" s="1" t="s">
        <v>4</v>
      </c>
      <c r="Y117" s="109">
        <f t="shared" si="49"/>
        <v>0</v>
      </c>
      <c r="Z117" s="109">
        <f t="shared" si="49"/>
        <v>0</v>
      </c>
      <c r="AA117" s="109">
        <f t="shared" si="49"/>
        <v>0</v>
      </c>
      <c r="AB117" s="109">
        <f t="shared" si="49"/>
        <v>0</v>
      </c>
      <c r="AC117" s="109">
        <f t="shared" si="49"/>
        <v>0</v>
      </c>
      <c r="AD117" s="109">
        <f t="shared" si="49"/>
        <v>0</v>
      </c>
      <c r="AE117" s="109">
        <f t="shared" si="49"/>
        <v>4</v>
      </c>
      <c r="AF117" s="109">
        <f t="shared" si="49"/>
        <v>0</v>
      </c>
      <c r="AG117" s="109">
        <f t="shared" si="49"/>
        <v>0</v>
      </c>
      <c r="AN117" s="127"/>
    </row>
    <row r="118" spans="2:40" x14ac:dyDescent="0.3">
      <c r="B118" s="130"/>
      <c r="T118" s="127"/>
      <c r="V118" s="130"/>
      <c r="AA118"/>
      <c r="AB118"/>
      <c r="AC118"/>
      <c r="AD118"/>
      <c r="AE118"/>
      <c r="AF118"/>
      <c r="AN118" s="127"/>
    </row>
    <row r="119" spans="2:40" x14ac:dyDescent="0.3">
      <c r="B119" s="130"/>
      <c r="C119" s="102" t="s">
        <v>64</v>
      </c>
      <c r="T119" s="127"/>
      <c r="V119" s="130"/>
      <c r="W119" s="102" t="s">
        <v>61</v>
      </c>
      <c r="AA119"/>
      <c r="AB119"/>
      <c r="AC119"/>
      <c r="AD119"/>
      <c r="AE119"/>
      <c r="AF119"/>
      <c r="AN119" s="127"/>
    </row>
    <row r="120" spans="2:40" ht="15" thickBot="1" x14ac:dyDescent="0.35">
      <c r="B120" s="126" t="s">
        <v>54</v>
      </c>
      <c r="C120" s="10" t="s">
        <v>10</v>
      </c>
      <c r="D120" s="12" t="s">
        <v>32</v>
      </c>
      <c r="E120" s="12">
        <v>2000</v>
      </c>
      <c r="F120" s="12">
        <v>2010</v>
      </c>
      <c r="G120" s="12">
        <v>2020</v>
      </c>
      <c r="H120" s="12">
        <v>2030</v>
      </c>
      <c r="I120" s="12">
        <v>2040</v>
      </c>
      <c r="J120" s="12">
        <v>2050</v>
      </c>
      <c r="K120" s="12">
        <v>2060</v>
      </c>
      <c r="L120" s="12">
        <v>2070</v>
      </c>
      <c r="M120" s="12">
        <v>2080</v>
      </c>
      <c r="T120" s="127"/>
      <c r="V120" s="137" t="s">
        <v>29</v>
      </c>
      <c r="W120" s="10" t="s">
        <v>10</v>
      </c>
      <c r="X120" s="12" t="s">
        <v>32</v>
      </c>
      <c r="Y120" s="12">
        <v>2000</v>
      </c>
      <c r="Z120" s="12">
        <v>2010</v>
      </c>
      <c r="AA120" s="12">
        <v>2020</v>
      </c>
      <c r="AB120" s="12">
        <v>2030</v>
      </c>
      <c r="AC120" s="12">
        <v>2040</v>
      </c>
      <c r="AD120" s="12">
        <v>2050</v>
      </c>
      <c r="AE120" s="12">
        <v>2060</v>
      </c>
      <c r="AF120" s="12">
        <v>2070</v>
      </c>
      <c r="AG120" s="12">
        <v>2080</v>
      </c>
      <c r="AN120" s="127"/>
    </row>
    <row r="121" spans="2:40" ht="15" thickTop="1" x14ac:dyDescent="0.3">
      <c r="B121" s="128">
        <v>12</v>
      </c>
      <c r="C121" s="22" t="s">
        <v>21</v>
      </c>
      <c r="D121" s="106" t="s">
        <v>0</v>
      </c>
      <c r="E121" s="107">
        <f t="shared" ref="E121:M125" si="50">$B121*E$21</f>
        <v>0</v>
      </c>
      <c r="F121" s="107">
        <f t="shared" si="50"/>
        <v>0</v>
      </c>
      <c r="G121" s="107">
        <f t="shared" si="50"/>
        <v>0</v>
      </c>
      <c r="H121" s="107">
        <f t="shared" si="50"/>
        <v>0</v>
      </c>
      <c r="I121" s="107">
        <f t="shared" si="50"/>
        <v>0</v>
      </c>
      <c r="J121" s="107">
        <f t="shared" si="50"/>
        <v>0</v>
      </c>
      <c r="K121" s="107">
        <f t="shared" si="50"/>
        <v>0</v>
      </c>
      <c r="L121" s="107">
        <f t="shared" si="50"/>
        <v>0</v>
      </c>
      <c r="M121" s="107">
        <f t="shared" si="50"/>
        <v>0</v>
      </c>
      <c r="T121" s="127"/>
      <c r="V121" s="138">
        <v>6</v>
      </c>
      <c r="W121" s="22" t="s">
        <v>21</v>
      </c>
      <c r="X121" s="106" t="s">
        <v>0</v>
      </c>
      <c r="Y121" s="107">
        <f t="shared" ref="Y121:AG125" si="51">$V121*E$21</f>
        <v>0</v>
      </c>
      <c r="Z121" s="107">
        <f t="shared" si="51"/>
        <v>0</v>
      </c>
      <c r="AA121" s="107">
        <f t="shared" si="51"/>
        <v>0</v>
      </c>
      <c r="AB121" s="107">
        <f t="shared" si="51"/>
        <v>0</v>
      </c>
      <c r="AC121" s="107">
        <f t="shared" si="51"/>
        <v>0</v>
      </c>
      <c r="AD121" s="107">
        <f t="shared" si="51"/>
        <v>0</v>
      </c>
      <c r="AE121" s="107">
        <f t="shared" si="51"/>
        <v>0</v>
      </c>
      <c r="AF121" s="107">
        <f t="shared" si="51"/>
        <v>0</v>
      </c>
      <c r="AG121" s="107">
        <f t="shared" si="51"/>
        <v>0</v>
      </c>
      <c r="AN121" s="127"/>
    </row>
    <row r="122" spans="2:40" x14ac:dyDescent="0.3">
      <c r="B122" s="128">
        <v>0</v>
      </c>
      <c r="C122" s="22" t="s">
        <v>21</v>
      </c>
      <c r="D122" s="106" t="s">
        <v>18</v>
      </c>
      <c r="E122" s="107">
        <f t="shared" si="50"/>
        <v>0</v>
      </c>
      <c r="F122" s="107">
        <f t="shared" si="50"/>
        <v>0</v>
      </c>
      <c r="G122" s="107">
        <f t="shared" si="50"/>
        <v>0</v>
      </c>
      <c r="H122" s="107">
        <f t="shared" si="50"/>
        <v>0</v>
      </c>
      <c r="I122" s="107">
        <f t="shared" si="50"/>
        <v>0</v>
      </c>
      <c r="J122" s="107">
        <f t="shared" si="50"/>
        <v>0</v>
      </c>
      <c r="K122" s="107">
        <f t="shared" si="50"/>
        <v>0</v>
      </c>
      <c r="L122" s="107">
        <f t="shared" si="50"/>
        <v>0</v>
      </c>
      <c r="M122" s="107">
        <f t="shared" si="50"/>
        <v>0</v>
      </c>
      <c r="T122" s="127"/>
      <c r="V122" s="138">
        <v>0</v>
      </c>
      <c r="W122" s="22" t="s">
        <v>21</v>
      </c>
      <c r="X122" s="106" t="s">
        <v>18</v>
      </c>
      <c r="Y122" s="107">
        <f t="shared" si="51"/>
        <v>0</v>
      </c>
      <c r="Z122" s="107">
        <f t="shared" si="51"/>
        <v>0</v>
      </c>
      <c r="AA122" s="107">
        <f t="shared" si="51"/>
        <v>0</v>
      </c>
      <c r="AB122" s="107">
        <f t="shared" si="51"/>
        <v>0</v>
      </c>
      <c r="AC122" s="107">
        <f t="shared" si="51"/>
        <v>0</v>
      </c>
      <c r="AD122" s="107">
        <f t="shared" si="51"/>
        <v>0</v>
      </c>
      <c r="AE122" s="107">
        <f t="shared" si="51"/>
        <v>0</v>
      </c>
      <c r="AF122" s="107">
        <f t="shared" si="51"/>
        <v>0</v>
      </c>
      <c r="AG122" s="107">
        <f t="shared" si="51"/>
        <v>0</v>
      </c>
      <c r="AN122" s="127"/>
    </row>
    <row r="123" spans="2:40" x14ac:dyDescent="0.3">
      <c r="B123" s="128">
        <v>4</v>
      </c>
      <c r="C123" s="22" t="s">
        <v>21</v>
      </c>
      <c r="D123" s="106" t="s">
        <v>2</v>
      </c>
      <c r="E123" s="107">
        <f t="shared" si="50"/>
        <v>0</v>
      </c>
      <c r="F123" s="107">
        <f t="shared" si="50"/>
        <v>0</v>
      </c>
      <c r="G123" s="107">
        <f t="shared" si="50"/>
        <v>0</v>
      </c>
      <c r="H123" s="107">
        <f t="shared" si="50"/>
        <v>0</v>
      </c>
      <c r="I123" s="107">
        <f t="shared" si="50"/>
        <v>0</v>
      </c>
      <c r="J123" s="107">
        <f t="shared" si="50"/>
        <v>0</v>
      </c>
      <c r="K123" s="107">
        <f t="shared" si="50"/>
        <v>0</v>
      </c>
      <c r="L123" s="107">
        <f t="shared" si="50"/>
        <v>0</v>
      </c>
      <c r="M123" s="107">
        <f t="shared" si="50"/>
        <v>0</v>
      </c>
      <c r="T123" s="127"/>
      <c r="V123" s="138">
        <v>2</v>
      </c>
      <c r="W123" s="22" t="s">
        <v>21</v>
      </c>
      <c r="X123" s="106" t="s">
        <v>2</v>
      </c>
      <c r="Y123" s="107">
        <f t="shared" si="51"/>
        <v>0</v>
      </c>
      <c r="Z123" s="107">
        <f t="shared" si="51"/>
        <v>0</v>
      </c>
      <c r="AA123" s="107">
        <f t="shared" si="51"/>
        <v>0</v>
      </c>
      <c r="AB123" s="107">
        <f t="shared" si="51"/>
        <v>0</v>
      </c>
      <c r="AC123" s="107">
        <f t="shared" si="51"/>
        <v>0</v>
      </c>
      <c r="AD123" s="107">
        <f t="shared" si="51"/>
        <v>0</v>
      </c>
      <c r="AE123" s="107">
        <f t="shared" si="51"/>
        <v>0</v>
      </c>
      <c r="AF123" s="107">
        <f t="shared" si="51"/>
        <v>0</v>
      </c>
      <c r="AG123" s="107">
        <f t="shared" si="51"/>
        <v>0</v>
      </c>
      <c r="AN123" s="127"/>
    </row>
    <row r="124" spans="2:40" x14ac:dyDescent="0.3">
      <c r="B124" s="128">
        <v>2</v>
      </c>
      <c r="C124" s="22" t="s">
        <v>21</v>
      </c>
      <c r="D124" s="106" t="s">
        <v>3</v>
      </c>
      <c r="E124" s="107">
        <f t="shared" si="50"/>
        <v>0</v>
      </c>
      <c r="F124" s="107">
        <f t="shared" si="50"/>
        <v>0</v>
      </c>
      <c r="G124" s="107">
        <f t="shared" si="50"/>
        <v>0</v>
      </c>
      <c r="H124" s="107">
        <f t="shared" si="50"/>
        <v>0</v>
      </c>
      <c r="I124" s="107">
        <f t="shared" si="50"/>
        <v>0</v>
      </c>
      <c r="J124" s="107">
        <f t="shared" si="50"/>
        <v>0</v>
      </c>
      <c r="K124" s="107">
        <f t="shared" si="50"/>
        <v>0</v>
      </c>
      <c r="L124" s="107">
        <f t="shared" si="50"/>
        <v>0</v>
      </c>
      <c r="M124" s="107">
        <f t="shared" si="50"/>
        <v>0</v>
      </c>
      <c r="T124" s="127"/>
      <c r="V124" s="138">
        <v>0</v>
      </c>
      <c r="W124" s="22" t="s">
        <v>21</v>
      </c>
      <c r="X124" s="106" t="s">
        <v>3</v>
      </c>
      <c r="Y124" s="107">
        <f t="shared" si="51"/>
        <v>0</v>
      </c>
      <c r="Z124" s="107">
        <f t="shared" si="51"/>
        <v>0</v>
      </c>
      <c r="AA124" s="107">
        <f t="shared" si="51"/>
        <v>0</v>
      </c>
      <c r="AB124" s="107">
        <f t="shared" si="51"/>
        <v>0</v>
      </c>
      <c r="AC124" s="107">
        <f t="shared" si="51"/>
        <v>0</v>
      </c>
      <c r="AD124" s="107">
        <f t="shared" si="51"/>
        <v>0</v>
      </c>
      <c r="AE124" s="107">
        <f t="shared" si="51"/>
        <v>0</v>
      </c>
      <c r="AF124" s="107">
        <f t="shared" si="51"/>
        <v>0</v>
      </c>
      <c r="AG124" s="107">
        <f t="shared" si="51"/>
        <v>0</v>
      </c>
      <c r="AN124" s="127"/>
    </row>
    <row r="125" spans="2:40" x14ac:dyDescent="0.3">
      <c r="B125" s="129">
        <v>18</v>
      </c>
      <c r="C125" s="23" t="s">
        <v>21</v>
      </c>
      <c r="D125" s="1" t="s">
        <v>4</v>
      </c>
      <c r="E125" s="109">
        <f t="shared" si="50"/>
        <v>0</v>
      </c>
      <c r="F125" s="109">
        <f t="shared" si="50"/>
        <v>0</v>
      </c>
      <c r="G125" s="109">
        <f t="shared" si="50"/>
        <v>0</v>
      </c>
      <c r="H125" s="109">
        <f t="shared" si="50"/>
        <v>0</v>
      </c>
      <c r="I125" s="109">
        <f t="shared" si="50"/>
        <v>0</v>
      </c>
      <c r="J125" s="109">
        <f t="shared" si="50"/>
        <v>0</v>
      </c>
      <c r="K125" s="109">
        <f t="shared" si="50"/>
        <v>0</v>
      </c>
      <c r="L125" s="109">
        <f t="shared" si="50"/>
        <v>0</v>
      </c>
      <c r="M125" s="109">
        <f t="shared" si="50"/>
        <v>0</v>
      </c>
      <c r="T125" s="127"/>
      <c r="V125" s="139">
        <v>8</v>
      </c>
      <c r="W125" s="23" t="s">
        <v>21</v>
      </c>
      <c r="X125" s="1" t="s">
        <v>4</v>
      </c>
      <c r="Y125" s="109">
        <f t="shared" si="51"/>
        <v>0</v>
      </c>
      <c r="Z125" s="109">
        <f t="shared" si="51"/>
        <v>0</v>
      </c>
      <c r="AA125" s="109">
        <f t="shared" si="51"/>
        <v>0</v>
      </c>
      <c r="AB125" s="109">
        <f t="shared" si="51"/>
        <v>0</v>
      </c>
      <c r="AC125" s="109">
        <f t="shared" si="51"/>
        <v>0</v>
      </c>
      <c r="AD125" s="109">
        <f t="shared" si="51"/>
        <v>0</v>
      </c>
      <c r="AE125" s="109">
        <f t="shared" si="51"/>
        <v>0</v>
      </c>
      <c r="AF125" s="109">
        <f t="shared" si="51"/>
        <v>0</v>
      </c>
      <c r="AG125" s="109">
        <f t="shared" si="51"/>
        <v>0</v>
      </c>
      <c r="AN125" s="127"/>
    </row>
    <row r="126" spans="2:40" x14ac:dyDescent="0.3">
      <c r="B126" s="130"/>
      <c r="T126" s="127"/>
      <c r="V126" s="130"/>
      <c r="AA126"/>
      <c r="AB126"/>
      <c r="AC126"/>
      <c r="AD126"/>
      <c r="AE126"/>
      <c r="AF126"/>
      <c r="AN126" s="127"/>
    </row>
    <row r="127" spans="2:40" x14ac:dyDescent="0.3">
      <c r="B127" s="130"/>
      <c r="C127" s="102" t="s">
        <v>65</v>
      </c>
      <c r="T127" s="127"/>
      <c r="V127" s="130"/>
      <c r="W127" s="102" t="s">
        <v>62</v>
      </c>
      <c r="AA127"/>
      <c r="AB127"/>
      <c r="AC127"/>
      <c r="AD127"/>
      <c r="AE127"/>
      <c r="AF127"/>
      <c r="AN127" s="127"/>
    </row>
    <row r="128" spans="2:40" ht="15" thickBot="1" x14ac:dyDescent="0.35">
      <c r="B128" s="131"/>
      <c r="C128" s="10" t="s">
        <v>10</v>
      </c>
      <c r="D128" s="12" t="s">
        <v>32</v>
      </c>
      <c r="E128" s="12">
        <v>2000</v>
      </c>
      <c r="F128" s="12">
        <v>2010</v>
      </c>
      <c r="G128" s="12">
        <v>2020</v>
      </c>
      <c r="H128" s="12">
        <v>2030</v>
      </c>
      <c r="I128" s="12">
        <v>2040</v>
      </c>
      <c r="J128" s="12">
        <v>2050</v>
      </c>
      <c r="K128" s="12">
        <v>2060</v>
      </c>
      <c r="L128" s="12">
        <v>2070</v>
      </c>
      <c r="M128" s="12">
        <v>2080</v>
      </c>
      <c r="T128" s="127"/>
      <c r="V128" s="131"/>
      <c r="W128" s="10" t="s">
        <v>10</v>
      </c>
      <c r="X128" s="12" t="s">
        <v>32</v>
      </c>
      <c r="Y128" s="12">
        <v>2000</v>
      </c>
      <c r="Z128" s="12">
        <v>2010</v>
      </c>
      <c r="AA128" s="12">
        <v>2020</v>
      </c>
      <c r="AB128" s="12">
        <v>2030</v>
      </c>
      <c r="AC128" s="12">
        <v>2040</v>
      </c>
      <c r="AD128" s="12">
        <v>2050</v>
      </c>
      <c r="AE128" s="12">
        <v>2060</v>
      </c>
      <c r="AF128" s="12">
        <v>2070</v>
      </c>
      <c r="AG128" s="12">
        <v>2080</v>
      </c>
      <c r="AN128" s="127"/>
    </row>
    <row r="129" spans="2:40" ht="15" thickTop="1" x14ac:dyDescent="0.3">
      <c r="B129" s="132"/>
      <c r="C129" s="22" t="s">
        <v>56</v>
      </c>
      <c r="D129" s="106" t="s">
        <v>0</v>
      </c>
      <c r="E129" s="107">
        <f t="shared" ref="E129:M129" si="52">E113+E121</f>
        <v>0</v>
      </c>
      <c r="F129" s="107">
        <f t="shared" si="52"/>
        <v>0</v>
      </c>
      <c r="G129" s="107">
        <f t="shared" si="52"/>
        <v>0</v>
      </c>
      <c r="H129" s="107">
        <f t="shared" si="52"/>
        <v>0</v>
      </c>
      <c r="I129" s="107">
        <f t="shared" si="52"/>
        <v>0</v>
      </c>
      <c r="J129" s="107">
        <f t="shared" si="52"/>
        <v>0</v>
      </c>
      <c r="K129" s="107">
        <f t="shared" si="52"/>
        <v>2</v>
      </c>
      <c r="L129" s="107">
        <f t="shared" si="52"/>
        <v>0</v>
      </c>
      <c r="M129" s="107">
        <f t="shared" si="52"/>
        <v>0</v>
      </c>
      <c r="T129" s="127"/>
      <c r="V129" s="132"/>
      <c r="W129" s="22" t="s">
        <v>56</v>
      </c>
      <c r="X129" s="106" t="s">
        <v>0</v>
      </c>
      <c r="Y129" s="107">
        <f>Y113+Y121</f>
        <v>0</v>
      </c>
      <c r="Z129" s="107">
        <f t="shared" ref="Z129:AG129" si="53">Z113+Z121</f>
        <v>0</v>
      </c>
      <c r="AA129" s="107">
        <f t="shared" si="53"/>
        <v>0</v>
      </c>
      <c r="AB129" s="107">
        <f t="shared" si="53"/>
        <v>0</v>
      </c>
      <c r="AC129" s="107">
        <f t="shared" si="53"/>
        <v>0</v>
      </c>
      <c r="AD129" s="107">
        <f t="shared" si="53"/>
        <v>0</v>
      </c>
      <c r="AE129" s="107">
        <f t="shared" si="53"/>
        <v>1</v>
      </c>
      <c r="AF129" s="107">
        <f t="shared" si="53"/>
        <v>0</v>
      </c>
      <c r="AG129" s="107">
        <f t="shared" si="53"/>
        <v>0</v>
      </c>
      <c r="AN129" s="127"/>
    </row>
    <row r="130" spans="2:40" x14ac:dyDescent="0.3">
      <c r="B130" s="132"/>
      <c r="C130" s="22" t="s">
        <v>56</v>
      </c>
      <c r="D130" s="106" t="s">
        <v>18</v>
      </c>
      <c r="E130" s="107">
        <f t="shared" ref="E130:M130" si="54">E114+E122</f>
        <v>0</v>
      </c>
      <c r="F130" s="107">
        <f t="shared" si="54"/>
        <v>0</v>
      </c>
      <c r="G130" s="107">
        <f t="shared" si="54"/>
        <v>0</v>
      </c>
      <c r="H130" s="107">
        <f t="shared" si="54"/>
        <v>0</v>
      </c>
      <c r="I130" s="107">
        <f t="shared" si="54"/>
        <v>0</v>
      </c>
      <c r="J130" s="107">
        <f t="shared" si="54"/>
        <v>0</v>
      </c>
      <c r="K130" s="107">
        <f t="shared" si="54"/>
        <v>2.5</v>
      </c>
      <c r="L130" s="107">
        <f t="shared" si="54"/>
        <v>0</v>
      </c>
      <c r="M130" s="107">
        <f t="shared" si="54"/>
        <v>0</v>
      </c>
      <c r="T130" s="127"/>
      <c r="V130" s="132"/>
      <c r="W130" s="22" t="s">
        <v>56</v>
      </c>
      <c r="X130" s="106" t="s">
        <v>18</v>
      </c>
      <c r="Y130" s="107">
        <f t="shared" ref="Y130:AG130" si="55">Y114+Y122</f>
        <v>0</v>
      </c>
      <c r="Z130" s="107">
        <f t="shared" si="55"/>
        <v>0</v>
      </c>
      <c r="AA130" s="107">
        <f t="shared" si="55"/>
        <v>0</v>
      </c>
      <c r="AB130" s="107">
        <f t="shared" si="55"/>
        <v>0</v>
      </c>
      <c r="AC130" s="107">
        <f t="shared" si="55"/>
        <v>0</v>
      </c>
      <c r="AD130" s="107">
        <f t="shared" si="55"/>
        <v>0</v>
      </c>
      <c r="AE130" s="107">
        <f t="shared" si="55"/>
        <v>2</v>
      </c>
      <c r="AF130" s="107">
        <f t="shared" si="55"/>
        <v>0</v>
      </c>
      <c r="AG130" s="107">
        <f t="shared" si="55"/>
        <v>0</v>
      </c>
      <c r="AN130" s="127"/>
    </row>
    <row r="131" spans="2:40" x14ac:dyDescent="0.3">
      <c r="B131" s="132"/>
      <c r="C131" s="22" t="s">
        <v>56</v>
      </c>
      <c r="D131" s="106" t="s">
        <v>2</v>
      </c>
      <c r="E131" s="107">
        <f t="shared" ref="E131:M131" si="56">E115+E123</f>
        <v>0</v>
      </c>
      <c r="F131" s="107">
        <f t="shared" si="56"/>
        <v>0</v>
      </c>
      <c r="G131" s="107">
        <f t="shared" si="56"/>
        <v>0</v>
      </c>
      <c r="H131" s="107">
        <f t="shared" si="56"/>
        <v>0</v>
      </c>
      <c r="I131" s="107">
        <f t="shared" si="56"/>
        <v>0</v>
      </c>
      <c r="J131" s="107">
        <f t="shared" si="56"/>
        <v>0</v>
      </c>
      <c r="K131" s="107">
        <f t="shared" si="56"/>
        <v>1</v>
      </c>
      <c r="L131" s="107">
        <f t="shared" si="56"/>
        <v>0</v>
      </c>
      <c r="M131" s="107">
        <f t="shared" si="56"/>
        <v>0</v>
      </c>
      <c r="T131" s="127"/>
      <c r="V131" s="132"/>
      <c r="W131" s="22" t="s">
        <v>56</v>
      </c>
      <c r="X131" s="106" t="s">
        <v>2</v>
      </c>
      <c r="Y131" s="107">
        <f t="shared" ref="Y131:AG131" si="57">Y115+Y123</f>
        <v>0</v>
      </c>
      <c r="Z131" s="107">
        <f t="shared" si="57"/>
        <v>0</v>
      </c>
      <c r="AA131" s="107">
        <f t="shared" si="57"/>
        <v>0</v>
      </c>
      <c r="AB131" s="107">
        <f t="shared" si="57"/>
        <v>0</v>
      </c>
      <c r="AC131" s="107">
        <f t="shared" si="57"/>
        <v>0</v>
      </c>
      <c r="AD131" s="107">
        <f t="shared" si="57"/>
        <v>0</v>
      </c>
      <c r="AE131" s="107">
        <f t="shared" si="57"/>
        <v>1</v>
      </c>
      <c r="AF131" s="107">
        <f t="shared" si="57"/>
        <v>0</v>
      </c>
      <c r="AG131" s="107">
        <f t="shared" si="57"/>
        <v>0</v>
      </c>
      <c r="AN131" s="127"/>
    </row>
    <row r="132" spans="2:40" x14ac:dyDescent="0.3">
      <c r="B132" s="132"/>
      <c r="C132" s="22" t="s">
        <v>56</v>
      </c>
      <c r="D132" s="106" t="s">
        <v>3</v>
      </c>
      <c r="E132" s="107">
        <f t="shared" ref="E132:M132" si="58">E116+E124</f>
        <v>0</v>
      </c>
      <c r="F132" s="107">
        <f t="shared" si="58"/>
        <v>0</v>
      </c>
      <c r="G132" s="107">
        <f t="shared" si="58"/>
        <v>0</v>
      </c>
      <c r="H132" s="107">
        <f t="shared" si="58"/>
        <v>0</v>
      </c>
      <c r="I132" s="107">
        <f t="shared" si="58"/>
        <v>0</v>
      </c>
      <c r="J132" s="107">
        <f t="shared" si="58"/>
        <v>0</v>
      </c>
      <c r="K132" s="107">
        <f t="shared" si="58"/>
        <v>1</v>
      </c>
      <c r="L132" s="107">
        <f t="shared" si="58"/>
        <v>0</v>
      </c>
      <c r="M132" s="107">
        <f t="shared" si="58"/>
        <v>0</v>
      </c>
      <c r="T132" s="127"/>
      <c r="V132" s="132"/>
      <c r="W132" s="22" t="s">
        <v>56</v>
      </c>
      <c r="X132" s="106" t="s">
        <v>3</v>
      </c>
      <c r="Y132" s="107">
        <f t="shared" ref="Y132:AG132" si="59">Y116+Y124</f>
        <v>0</v>
      </c>
      <c r="Z132" s="107">
        <f t="shared" si="59"/>
        <v>0</v>
      </c>
      <c r="AA132" s="107">
        <f t="shared" si="59"/>
        <v>0</v>
      </c>
      <c r="AB132" s="107">
        <f t="shared" si="59"/>
        <v>0</v>
      </c>
      <c r="AC132" s="107">
        <f t="shared" si="59"/>
        <v>0</v>
      </c>
      <c r="AD132" s="107">
        <f t="shared" si="59"/>
        <v>0</v>
      </c>
      <c r="AE132" s="107">
        <f t="shared" si="59"/>
        <v>0</v>
      </c>
      <c r="AF132" s="107">
        <f t="shared" si="59"/>
        <v>0</v>
      </c>
      <c r="AG132" s="107">
        <f t="shared" si="59"/>
        <v>0</v>
      </c>
      <c r="AN132" s="127"/>
    </row>
    <row r="133" spans="2:40" x14ac:dyDescent="0.3">
      <c r="B133" s="133"/>
      <c r="C133" s="22" t="s">
        <v>56</v>
      </c>
      <c r="D133" s="1" t="s">
        <v>4</v>
      </c>
      <c r="E133" s="109">
        <f t="shared" ref="E133:M133" si="60">E117+E125</f>
        <v>0</v>
      </c>
      <c r="F133" s="109">
        <f t="shared" si="60"/>
        <v>0</v>
      </c>
      <c r="G133" s="109">
        <f t="shared" si="60"/>
        <v>0</v>
      </c>
      <c r="H133" s="109">
        <f t="shared" si="60"/>
        <v>0</v>
      </c>
      <c r="I133" s="109">
        <f t="shared" si="60"/>
        <v>0</v>
      </c>
      <c r="J133" s="109">
        <f t="shared" si="60"/>
        <v>0</v>
      </c>
      <c r="K133" s="109">
        <f t="shared" si="60"/>
        <v>6.5</v>
      </c>
      <c r="L133" s="109">
        <f t="shared" si="60"/>
        <v>0</v>
      </c>
      <c r="M133" s="109">
        <f t="shared" si="60"/>
        <v>0</v>
      </c>
      <c r="T133" s="127"/>
      <c r="V133" s="133"/>
      <c r="W133" s="22" t="s">
        <v>56</v>
      </c>
      <c r="X133" s="1" t="s">
        <v>4</v>
      </c>
      <c r="Y133" s="109">
        <f t="shared" ref="Y133:AG133" si="61">Y117+Y125</f>
        <v>0</v>
      </c>
      <c r="Z133" s="109">
        <f t="shared" si="61"/>
        <v>0</v>
      </c>
      <c r="AA133" s="109">
        <f t="shared" si="61"/>
        <v>0</v>
      </c>
      <c r="AB133" s="109">
        <f t="shared" si="61"/>
        <v>0</v>
      </c>
      <c r="AC133" s="109">
        <f t="shared" si="61"/>
        <v>0</v>
      </c>
      <c r="AD133" s="109">
        <f t="shared" si="61"/>
        <v>0</v>
      </c>
      <c r="AE133" s="109">
        <f t="shared" si="61"/>
        <v>4</v>
      </c>
      <c r="AF133" s="109">
        <f t="shared" si="61"/>
        <v>0</v>
      </c>
      <c r="AG133" s="109">
        <f t="shared" si="61"/>
        <v>0</v>
      </c>
      <c r="AN133" s="127"/>
    </row>
    <row r="134" spans="2:40" x14ac:dyDescent="0.3">
      <c r="B134" s="130"/>
      <c r="T134" s="127"/>
      <c r="V134" s="130"/>
      <c r="AA134"/>
      <c r="AB134"/>
      <c r="AC134"/>
      <c r="AD134"/>
      <c r="AE134"/>
      <c r="AF134"/>
      <c r="AN134" s="127"/>
    </row>
    <row r="135" spans="2:40" x14ac:dyDescent="0.3">
      <c r="B135" s="130"/>
      <c r="T135" s="127"/>
      <c r="V135" s="130"/>
      <c r="AA135"/>
      <c r="AB135"/>
      <c r="AC135"/>
      <c r="AD135"/>
      <c r="AE135"/>
      <c r="AF135"/>
      <c r="AN135" s="127"/>
    </row>
    <row r="136" spans="2:40" x14ac:dyDescent="0.3">
      <c r="B136" s="130"/>
      <c r="T136" s="127"/>
      <c r="V136" s="130"/>
      <c r="AA136"/>
      <c r="AB136"/>
      <c r="AC136"/>
      <c r="AD136"/>
      <c r="AE136"/>
      <c r="AF136"/>
      <c r="AN136" s="127"/>
    </row>
    <row r="137" spans="2:40" x14ac:dyDescent="0.3">
      <c r="B137" s="130"/>
      <c r="T137" s="127"/>
      <c r="V137" s="130"/>
      <c r="AA137"/>
      <c r="AB137"/>
      <c r="AC137"/>
      <c r="AD137"/>
      <c r="AE137"/>
      <c r="AF137"/>
      <c r="AN137" s="127"/>
    </row>
    <row r="138" spans="2:40" x14ac:dyDescent="0.3">
      <c r="B138" s="130"/>
      <c r="T138" s="127"/>
      <c r="V138" s="130"/>
      <c r="AA138"/>
      <c r="AB138"/>
      <c r="AC138"/>
      <c r="AD138"/>
      <c r="AE138"/>
      <c r="AF138"/>
      <c r="AN138" s="127"/>
    </row>
    <row r="139" spans="2:40" x14ac:dyDescent="0.3">
      <c r="B139" s="130"/>
      <c r="T139" s="127"/>
      <c r="V139" s="130"/>
      <c r="AA139"/>
      <c r="AB139"/>
      <c r="AC139"/>
      <c r="AD139"/>
      <c r="AE139"/>
      <c r="AF139"/>
      <c r="AN139" s="127"/>
    </row>
    <row r="140" spans="2:40" x14ac:dyDescent="0.3">
      <c r="B140" s="130"/>
      <c r="T140" s="127"/>
      <c r="V140" s="130"/>
      <c r="AA140"/>
      <c r="AB140"/>
      <c r="AC140"/>
      <c r="AD140"/>
      <c r="AE140"/>
      <c r="AF140"/>
      <c r="AN140" s="127"/>
    </row>
    <row r="141" spans="2:40" x14ac:dyDescent="0.3">
      <c r="B141" s="130"/>
      <c r="T141" s="127"/>
      <c r="V141" s="130"/>
      <c r="AA141"/>
      <c r="AB141"/>
      <c r="AC141"/>
      <c r="AD141"/>
      <c r="AE141"/>
      <c r="AF141"/>
      <c r="AN141" s="127"/>
    </row>
    <row r="142" spans="2:40" x14ac:dyDescent="0.3">
      <c r="B142" s="130"/>
      <c r="T142" s="127"/>
      <c r="V142" s="130"/>
      <c r="AA142"/>
      <c r="AB142"/>
      <c r="AC142"/>
      <c r="AD142"/>
      <c r="AE142"/>
      <c r="AF142"/>
      <c r="AN142" s="127"/>
    </row>
    <row r="143" spans="2:40" x14ac:dyDescent="0.3">
      <c r="B143" s="130"/>
      <c r="T143" s="127"/>
      <c r="V143" s="130"/>
      <c r="AA143"/>
      <c r="AB143"/>
      <c r="AC143"/>
      <c r="AD143"/>
      <c r="AE143"/>
      <c r="AF143"/>
      <c r="AN143" s="127"/>
    </row>
    <row r="144" spans="2:40" x14ac:dyDescent="0.3">
      <c r="B144" s="130"/>
      <c r="T144" s="127"/>
      <c r="V144" s="130"/>
      <c r="AA144"/>
      <c r="AB144"/>
      <c r="AC144"/>
      <c r="AD144"/>
      <c r="AE144"/>
      <c r="AF144"/>
      <c r="AN144" s="127"/>
    </row>
    <row r="145" spans="2:40" x14ac:dyDescent="0.3">
      <c r="B145" s="130"/>
      <c r="T145" s="127"/>
      <c r="V145" s="130"/>
      <c r="AA145"/>
      <c r="AB145"/>
      <c r="AC145"/>
      <c r="AD145"/>
      <c r="AE145"/>
      <c r="AF145"/>
      <c r="AN145" s="127"/>
    </row>
    <row r="146" spans="2:40" x14ac:dyDescent="0.3">
      <c r="B146" s="130"/>
      <c r="T146" s="127"/>
      <c r="V146" s="130"/>
      <c r="AA146"/>
      <c r="AB146"/>
      <c r="AC146"/>
      <c r="AD146"/>
      <c r="AE146"/>
      <c r="AF146"/>
      <c r="AN146" s="127"/>
    </row>
    <row r="147" spans="2:40" x14ac:dyDescent="0.3">
      <c r="B147" s="130"/>
      <c r="T147" s="127"/>
      <c r="V147" s="130"/>
      <c r="AA147"/>
      <c r="AB147"/>
      <c r="AC147"/>
      <c r="AD147"/>
      <c r="AE147"/>
      <c r="AF147"/>
      <c r="AN147" s="127"/>
    </row>
    <row r="148" spans="2:40" x14ac:dyDescent="0.3">
      <c r="B148" s="130"/>
      <c r="T148" s="127"/>
      <c r="V148" s="130"/>
      <c r="AA148"/>
      <c r="AB148"/>
      <c r="AC148"/>
      <c r="AD148"/>
      <c r="AE148"/>
      <c r="AF148"/>
      <c r="AN148" s="127"/>
    </row>
    <row r="149" spans="2:40" ht="15" thickBot="1" x14ac:dyDescent="0.35">
      <c r="B149" s="134"/>
      <c r="C149" s="135"/>
      <c r="D149" s="135"/>
      <c r="E149" s="135"/>
      <c r="F149" s="135"/>
      <c r="G149" s="135"/>
      <c r="H149" s="135"/>
      <c r="I149" s="135"/>
      <c r="J149" s="135"/>
      <c r="K149" s="135"/>
      <c r="L149" s="135"/>
      <c r="M149" s="135"/>
      <c r="N149" s="135"/>
      <c r="O149" s="135"/>
      <c r="P149" s="135"/>
      <c r="Q149" s="135"/>
      <c r="R149" s="135"/>
      <c r="S149" s="135"/>
      <c r="T149" s="136"/>
      <c r="V149" s="134"/>
      <c r="W149" s="135"/>
      <c r="X149" s="135"/>
      <c r="Y149" s="135"/>
      <c r="Z149" s="135"/>
      <c r="AA149" s="135"/>
      <c r="AB149" s="135"/>
      <c r="AC149" s="135"/>
      <c r="AD149" s="135"/>
      <c r="AE149" s="135"/>
      <c r="AF149" s="135"/>
      <c r="AG149" s="135"/>
      <c r="AH149" s="135"/>
      <c r="AI149" s="135"/>
      <c r="AJ149" s="135"/>
      <c r="AK149" s="135"/>
      <c r="AL149" s="135"/>
      <c r="AM149" s="135"/>
      <c r="AN149" s="136"/>
    </row>
  </sheetData>
  <mergeCells count="8">
    <mergeCell ref="T4:Y4"/>
    <mergeCell ref="T13:Y13"/>
    <mergeCell ref="E26:H26"/>
    <mergeCell ref="E27:H27"/>
    <mergeCell ref="E28:H28"/>
    <mergeCell ref="I26:L26"/>
    <mergeCell ref="I28:L28"/>
    <mergeCell ref="N4:P4"/>
  </mergeCells>
  <dataValidations disablePrompts="1" count="1">
    <dataValidation type="list" allowBlank="1" showInputMessage="1" showErrorMessage="1" sqref="E6:M15" xr:uid="{19A8342B-BFC3-40B1-9E87-A3579DDE0BC2}">
      <formula1>"B, S, D"</formula1>
    </dataValidation>
  </dataValidations>
  <hyperlinks>
    <hyperlink ref="I28:K28" location="'Home Tracker Input Sheet'!AG127" display="Materials for Reuse / Recycling" xr:uid="{7F2B8847-58C3-4794-BBAE-01F3A68F1C6F}"/>
    <hyperlink ref="I26:K26" location="'Home Tracker Input Sheet'!AG46" display="Construction Scrap Materials" xr:uid="{FBE7ED64-B93C-4B20-B139-B2FA2A64E9F6}"/>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304C-FB1B-4741-8112-56B3781868FA}">
  <dimension ref="B2:Y67"/>
  <sheetViews>
    <sheetView topLeftCell="A30" zoomScale="70" zoomScaleNormal="70" workbookViewId="0">
      <selection activeCell="R52" sqref="R52"/>
    </sheetView>
  </sheetViews>
  <sheetFormatPr defaultRowHeight="14.4" x14ac:dyDescent="0.3"/>
  <sheetData>
    <row r="2" spans="2:25" ht="21" x14ac:dyDescent="0.35">
      <c r="B2" s="24" t="s">
        <v>36</v>
      </c>
      <c r="Y2" s="190" t="s">
        <v>106</v>
      </c>
    </row>
    <row r="3" spans="2:25" ht="15" thickBot="1" x14ac:dyDescent="0.35">
      <c r="C3" t="s">
        <v>37</v>
      </c>
      <c r="D3" t="s">
        <v>37</v>
      </c>
      <c r="G3" t="s">
        <v>37</v>
      </c>
      <c r="H3" t="s">
        <v>37</v>
      </c>
      <c r="K3" t="s">
        <v>37</v>
      </c>
      <c r="L3" t="s">
        <v>37</v>
      </c>
      <c r="O3" t="s">
        <v>37</v>
      </c>
      <c r="P3" t="s">
        <v>37</v>
      </c>
    </row>
    <row r="4" spans="2:25" ht="19.2" thickTop="1" thickBot="1" x14ac:dyDescent="0.35">
      <c r="B4" s="25"/>
      <c r="C4" s="223" t="s">
        <v>0</v>
      </c>
      <c r="D4" s="224"/>
      <c r="E4" s="224"/>
      <c r="F4" s="225"/>
      <c r="G4" s="223" t="s">
        <v>18</v>
      </c>
      <c r="H4" s="224"/>
      <c r="I4" s="224"/>
      <c r="J4" s="225"/>
      <c r="K4" s="223" t="s">
        <v>2</v>
      </c>
      <c r="L4" s="224"/>
      <c r="M4" s="224"/>
      <c r="N4" s="225"/>
      <c r="O4" s="223" t="s">
        <v>3</v>
      </c>
      <c r="P4" s="224"/>
      <c r="Q4" s="224"/>
      <c r="R4" s="225"/>
      <c r="S4" s="43" t="s">
        <v>4</v>
      </c>
      <c r="T4" s="44"/>
      <c r="U4" s="44"/>
      <c r="V4" s="45"/>
    </row>
    <row r="5" spans="2:25" ht="36.6" thickBot="1" x14ac:dyDescent="0.35">
      <c r="B5" s="26" t="s">
        <v>5</v>
      </c>
      <c r="C5" s="39" t="s">
        <v>6</v>
      </c>
      <c r="D5" s="39" t="s">
        <v>7</v>
      </c>
      <c r="E5" s="39" t="s">
        <v>9</v>
      </c>
      <c r="F5" s="40" t="s">
        <v>8</v>
      </c>
      <c r="G5" s="39" t="s">
        <v>6</v>
      </c>
      <c r="H5" s="39" t="s">
        <v>7</v>
      </c>
      <c r="I5" s="39" t="s">
        <v>9</v>
      </c>
      <c r="J5" s="40" t="s">
        <v>8</v>
      </c>
      <c r="K5" s="39" t="s">
        <v>6</v>
      </c>
      <c r="L5" s="39" t="s">
        <v>7</v>
      </c>
      <c r="M5" s="39" t="s">
        <v>9</v>
      </c>
      <c r="N5" s="40" t="s">
        <v>8</v>
      </c>
      <c r="O5" s="39" t="s">
        <v>6</v>
      </c>
      <c r="P5" s="39" t="s">
        <v>7</v>
      </c>
      <c r="Q5" s="39" t="s">
        <v>9</v>
      </c>
      <c r="R5" s="40" t="s">
        <v>8</v>
      </c>
      <c r="S5" s="51" t="s">
        <v>6</v>
      </c>
      <c r="T5" s="51" t="s">
        <v>7</v>
      </c>
      <c r="U5" s="51" t="s">
        <v>9</v>
      </c>
      <c r="V5" s="52" t="s">
        <v>8</v>
      </c>
    </row>
    <row r="6" spans="2:25" ht="19.2" thickTop="1" thickBot="1" x14ac:dyDescent="0.35">
      <c r="B6" s="29">
        <v>2000</v>
      </c>
      <c r="C6" s="41"/>
      <c r="D6" s="41"/>
      <c r="E6" s="30">
        <f>C6-D6</f>
        <v>0</v>
      </c>
      <c r="F6" s="31">
        <f>E6</f>
        <v>0</v>
      </c>
      <c r="G6" s="41"/>
      <c r="H6" s="41"/>
      <c r="I6" s="30">
        <f>G6-H6</f>
        <v>0</v>
      </c>
      <c r="J6" s="31">
        <f>I6</f>
        <v>0</v>
      </c>
      <c r="K6" s="41"/>
      <c r="L6" s="41"/>
      <c r="M6" s="30">
        <f>K6-L6</f>
        <v>0</v>
      </c>
      <c r="N6" s="31">
        <f>M6</f>
        <v>0</v>
      </c>
      <c r="O6" s="140"/>
      <c r="P6" s="41"/>
      <c r="Q6" s="30">
        <f>O6-P6</f>
        <v>0</v>
      </c>
      <c r="R6" s="31">
        <f>Q6</f>
        <v>0</v>
      </c>
      <c r="S6" s="53">
        <f>SUMIF($C$5:$R$5,S$5,$C6:$R6)</f>
        <v>0</v>
      </c>
      <c r="T6" s="54">
        <f>-SUMIF($C$5:$R$5,T$5,$C6:$R6)</f>
        <v>0</v>
      </c>
      <c r="U6" s="54">
        <f>SUMIF($C$5:$R$5,U$5,$C6:$R6)</f>
        <v>0</v>
      </c>
      <c r="V6" s="55">
        <f>SUMIF($C$5:$R$5,V$5,$C6:$R6)</f>
        <v>0</v>
      </c>
    </row>
    <row r="7" spans="2:25" ht="18.600000000000001" thickBot="1" x14ac:dyDescent="0.35">
      <c r="B7" s="32">
        <v>2010</v>
      </c>
      <c r="C7" s="41"/>
      <c r="D7" s="41"/>
      <c r="E7" s="33">
        <f>C7-D7</f>
        <v>0</v>
      </c>
      <c r="F7" s="34">
        <f t="shared" ref="F7:F14" si="0">F6+E7</f>
        <v>0</v>
      </c>
      <c r="G7" s="41"/>
      <c r="H7" s="41"/>
      <c r="I7" s="33">
        <f>G7-H7</f>
        <v>0</v>
      </c>
      <c r="J7" s="34">
        <f t="shared" ref="J7:J14" si="1">J6+I7</f>
        <v>0</v>
      </c>
      <c r="K7" s="41"/>
      <c r="L7" s="41"/>
      <c r="M7" s="33">
        <f>K7-L7</f>
        <v>0</v>
      </c>
      <c r="N7" s="34">
        <f t="shared" ref="N7:N14" si="2">N6+M7</f>
        <v>0</v>
      </c>
      <c r="O7" s="140"/>
      <c r="P7" s="41"/>
      <c r="Q7" s="33">
        <f>O7-P7</f>
        <v>0</v>
      </c>
      <c r="R7" s="34">
        <f t="shared" ref="R7:R14" si="3">R6+Q7</f>
        <v>0</v>
      </c>
      <c r="S7" s="56">
        <f t="shared" ref="S7:S15" si="4">SUMIF($C$5:$R$5,S$5,$C7:$R7)</f>
        <v>0</v>
      </c>
      <c r="T7" s="33">
        <f t="shared" ref="T7:T15" si="5">-SUMIF($C$5:$R$5,T$5,$C7:$R7)</f>
        <v>0</v>
      </c>
      <c r="U7" s="33">
        <f t="shared" ref="U7:V15" si="6">SUMIF($C$5:$R$5,U$5,$C7:$R7)</f>
        <v>0</v>
      </c>
      <c r="V7" s="57">
        <f t="shared" si="6"/>
        <v>0</v>
      </c>
    </row>
    <row r="8" spans="2:25" ht="18.600000000000001" thickBot="1" x14ac:dyDescent="0.35">
      <c r="B8" s="29">
        <v>2020</v>
      </c>
      <c r="C8" s="41"/>
      <c r="D8" s="41"/>
      <c r="E8" s="30">
        <f>C8-D8</f>
        <v>0</v>
      </c>
      <c r="F8" s="31">
        <f t="shared" si="0"/>
        <v>0</v>
      </c>
      <c r="G8" s="41"/>
      <c r="H8" s="41"/>
      <c r="I8" s="30">
        <f>G8-H8</f>
        <v>0</v>
      </c>
      <c r="J8" s="31">
        <f t="shared" si="1"/>
        <v>0</v>
      </c>
      <c r="K8" s="41"/>
      <c r="L8" s="41"/>
      <c r="M8" s="30">
        <f>K8-L8</f>
        <v>0</v>
      </c>
      <c r="N8" s="31">
        <f t="shared" si="2"/>
        <v>0</v>
      </c>
      <c r="O8" s="140"/>
      <c r="P8" s="41"/>
      <c r="Q8" s="30">
        <f>O8-P8</f>
        <v>0</v>
      </c>
      <c r="R8" s="31">
        <f t="shared" si="3"/>
        <v>0</v>
      </c>
      <c r="S8" s="58">
        <f t="shared" si="4"/>
        <v>0</v>
      </c>
      <c r="T8" s="30">
        <f t="shared" si="5"/>
        <v>0</v>
      </c>
      <c r="U8" s="30">
        <f t="shared" si="6"/>
        <v>0</v>
      </c>
      <c r="V8" s="59">
        <f t="shared" si="6"/>
        <v>0</v>
      </c>
    </row>
    <row r="9" spans="2:25" ht="18.600000000000001" thickBot="1" x14ac:dyDescent="0.35">
      <c r="B9" s="32">
        <v>2030</v>
      </c>
      <c r="C9" s="41"/>
      <c r="D9" s="41"/>
      <c r="E9" s="33">
        <f t="shared" ref="E9:E14" si="7">C9-D9</f>
        <v>0</v>
      </c>
      <c r="F9" s="34">
        <f t="shared" si="0"/>
        <v>0</v>
      </c>
      <c r="G9" s="41"/>
      <c r="H9" s="41"/>
      <c r="I9" s="33">
        <f t="shared" ref="I9:I14" si="8">G9-H9</f>
        <v>0</v>
      </c>
      <c r="J9" s="34">
        <f t="shared" si="1"/>
        <v>0</v>
      </c>
      <c r="K9" s="41"/>
      <c r="L9" s="41"/>
      <c r="M9" s="33">
        <f t="shared" ref="M9:M14" si="9">K9-L9</f>
        <v>0</v>
      </c>
      <c r="N9" s="34">
        <f t="shared" si="2"/>
        <v>0</v>
      </c>
      <c r="O9" s="140"/>
      <c r="P9" s="41"/>
      <c r="Q9" s="33">
        <f t="shared" ref="Q9:Q14" si="10">O9-P9</f>
        <v>0</v>
      </c>
      <c r="R9" s="34">
        <f t="shared" si="3"/>
        <v>0</v>
      </c>
      <c r="S9" s="56">
        <f t="shared" si="4"/>
        <v>0</v>
      </c>
      <c r="T9" s="33">
        <f t="shared" si="5"/>
        <v>0</v>
      </c>
      <c r="U9" s="33">
        <f t="shared" si="6"/>
        <v>0</v>
      </c>
      <c r="V9" s="57">
        <f t="shared" si="6"/>
        <v>0</v>
      </c>
    </row>
    <row r="10" spans="2:25" ht="18.600000000000001" thickBot="1" x14ac:dyDescent="0.35">
      <c r="B10" s="29">
        <v>2040</v>
      </c>
      <c r="C10" s="41"/>
      <c r="D10" s="41"/>
      <c r="E10" s="30">
        <f t="shared" si="7"/>
        <v>0</v>
      </c>
      <c r="F10" s="31">
        <f t="shared" si="0"/>
        <v>0</v>
      </c>
      <c r="G10" s="41"/>
      <c r="H10" s="41"/>
      <c r="I10" s="30">
        <f t="shared" si="8"/>
        <v>0</v>
      </c>
      <c r="J10" s="31">
        <f t="shared" si="1"/>
        <v>0</v>
      </c>
      <c r="K10" s="41"/>
      <c r="L10" s="41"/>
      <c r="M10" s="30">
        <f t="shared" si="9"/>
        <v>0</v>
      </c>
      <c r="N10" s="31">
        <f t="shared" si="2"/>
        <v>0</v>
      </c>
      <c r="O10" s="140"/>
      <c r="P10" s="41"/>
      <c r="Q10" s="30">
        <f t="shared" si="10"/>
        <v>0</v>
      </c>
      <c r="R10" s="31">
        <f t="shared" si="3"/>
        <v>0</v>
      </c>
      <c r="S10" s="58">
        <f t="shared" si="4"/>
        <v>0</v>
      </c>
      <c r="T10" s="30">
        <f t="shared" si="5"/>
        <v>0</v>
      </c>
      <c r="U10" s="30">
        <f t="shared" si="6"/>
        <v>0</v>
      </c>
      <c r="V10" s="59">
        <f t="shared" si="6"/>
        <v>0</v>
      </c>
    </row>
    <row r="11" spans="2:25" ht="18.600000000000001" thickBot="1" x14ac:dyDescent="0.35">
      <c r="B11" s="32">
        <v>2050</v>
      </c>
      <c r="C11" s="41"/>
      <c r="D11" s="41"/>
      <c r="E11" s="33">
        <f t="shared" si="7"/>
        <v>0</v>
      </c>
      <c r="F11" s="34">
        <f t="shared" si="0"/>
        <v>0</v>
      </c>
      <c r="G11" s="41"/>
      <c r="H11" s="41"/>
      <c r="I11" s="33">
        <f t="shared" si="8"/>
        <v>0</v>
      </c>
      <c r="J11" s="34">
        <f t="shared" si="1"/>
        <v>0</v>
      </c>
      <c r="K11" s="41"/>
      <c r="L11" s="41"/>
      <c r="M11" s="33">
        <f t="shared" si="9"/>
        <v>0</v>
      </c>
      <c r="N11" s="34">
        <f t="shared" si="2"/>
        <v>0</v>
      </c>
      <c r="O11" s="140"/>
      <c r="P11" s="41"/>
      <c r="Q11" s="33">
        <f t="shared" si="10"/>
        <v>0</v>
      </c>
      <c r="R11" s="34">
        <f t="shared" si="3"/>
        <v>0</v>
      </c>
      <c r="S11" s="56">
        <f t="shared" si="4"/>
        <v>0</v>
      </c>
      <c r="T11" s="33">
        <f t="shared" si="5"/>
        <v>0</v>
      </c>
      <c r="U11" s="33">
        <f t="shared" si="6"/>
        <v>0</v>
      </c>
      <c r="V11" s="57">
        <f t="shared" si="6"/>
        <v>0</v>
      </c>
    </row>
    <row r="12" spans="2:25" ht="18.600000000000001" thickBot="1" x14ac:dyDescent="0.35">
      <c r="B12" s="29">
        <v>2060</v>
      </c>
      <c r="C12" s="41"/>
      <c r="D12" s="41"/>
      <c r="E12" s="30">
        <f t="shared" si="7"/>
        <v>0</v>
      </c>
      <c r="F12" s="31">
        <f t="shared" si="0"/>
        <v>0</v>
      </c>
      <c r="G12" s="41"/>
      <c r="H12" s="41"/>
      <c r="I12" s="30">
        <f t="shared" si="8"/>
        <v>0</v>
      </c>
      <c r="J12" s="31">
        <f t="shared" si="1"/>
        <v>0</v>
      </c>
      <c r="K12" s="41"/>
      <c r="L12" s="41"/>
      <c r="M12" s="30">
        <f t="shared" si="9"/>
        <v>0</v>
      </c>
      <c r="N12" s="31">
        <f t="shared" si="2"/>
        <v>0</v>
      </c>
      <c r="O12" s="140"/>
      <c r="P12" s="41"/>
      <c r="Q12" s="30">
        <f t="shared" si="10"/>
        <v>0</v>
      </c>
      <c r="R12" s="31">
        <f t="shared" si="3"/>
        <v>0</v>
      </c>
      <c r="S12" s="58">
        <f t="shared" si="4"/>
        <v>0</v>
      </c>
      <c r="T12" s="30">
        <f t="shared" si="5"/>
        <v>0</v>
      </c>
      <c r="U12" s="30">
        <f t="shared" si="6"/>
        <v>0</v>
      </c>
      <c r="V12" s="59">
        <f t="shared" si="6"/>
        <v>0</v>
      </c>
    </row>
    <row r="13" spans="2:25" ht="18.600000000000001" thickBot="1" x14ac:dyDescent="0.35">
      <c r="B13" s="32">
        <v>2070</v>
      </c>
      <c r="C13" s="41"/>
      <c r="D13" s="41"/>
      <c r="E13" s="33">
        <f t="shared" si="7"/>
        <v>0</v>
      </c>
      <c r="F13" s="34">
        <f t="shared" si="0"/>
        <v>0</v>
      </c>
      <c r="G13" s="41"/>
      <c r="H13" s="41"/>
      <c r="I13" s="33">
        <f t="shared" si="8"/>
        <v>0</v>
      </c>
      <c r="J13" s="34">
        <f t="shared" si="1"/>
        <v>0</v>
      </c>
      <c r="K13" s="41"/>
      <c r="L13" s="41"/>
      <c r="M13" s="33">
        <f t="shared" si="9"/>
        <v>0</v>
      </c>
      <c r="N13" s="34">
        <f t="shared" si="2"/>
        <v>0</v>
      </c>
      <c r="O13" s="140"/>
      <c r="P13" s="41"/>
      <c r="Q13" s="33">
        <f t="shared" si="10"/>
        <v>0</v>
      </c>
      <c r="R13" s="34">
        <f t="shared" si="3"/>
        <v>0</v>
      </c>
      <c r="S13" s="56">
        <f t="shared" si="4"/>
        <v>0</v>
      </c>
      <c r="T13" s="33">
        <f>-SUMIF($C$5:$R$5,T$5,$C13:$R13)</f>
        <v>0</v>
      </c>
      <c r="U13" s="33">
        <f t="shared" si="6"/>
        <v>0</v>
      </c>
      <c r="V13" s="57">
        <f t="shared" si="6"/>
        <v>0</v>
      </c>
    </row>
    <row r="14" spans="2:25" ht="18.600000000000001" thickBot="1" x14ac:dyDescent="0.35">
      <c r="B14" s="29">
        <v>2080</v>
      </c>
      <c r="C14" s="41"/>
      <c r="D14" s="41"/>
      <c r="E14" s="30">
        <f t="shared" si="7"/>
        <v>0</v>
      </c>
      <c r="F14" s="31">
        <f t="shared" si="0"/>
        <v>0</v>
      </c>
      <c r="G14" s="41"/>
      <c r="H14" s="41"/>
      <c r="I14" s="30">
        <f t="shared" si="8"/>
        <v>0</v>
      </c>
      <c r="J14" s="31">
        <f t="shared" si="1"/>
        <v>0</v>
      </c>
      <c r="K14" s="41"/>
      <c r="L14" s="41"/>
      <c r="M14" s="30">
        <f t="shared" si="9"/>
        <v>0</v>
      </c>
      <c r="N14" s="31">
        <f t="shared" si="2"/>
        <v>0</v>
      </c>
      <c r="O14" s="140"/>
      <c r="P14" s="41"/>
      <c r="Q14" s="30">
        <f t="shared" si="10"/>
        <v>0</v>
      </c>
      <c r="R14" s="31">
        <f t="shared" si="3"/>
        <v>0</v>
      </c>
      <c r="S14" s="58">
        <f t="shared" si="4"/>
        <v>0</v>
      </c>
      <c r="T14" s="30">
        <f t="shared" si="5"/>
        <v>0</v>
      </c>
      <c r="U14" s="30">
        <f t="shared" si="6"/>
        <v>0</v>
      </c>
      <c r="V14" s="59">
        <f t="shared" si="6"/>
        <v>0</v>
      </c>
    </row>
    <row r="15" spans="2:25" ht="18.600000000000001" thickBot="1" x14ac:dyDescent="0.35">
      <c r="B15" s="36" t="s">
        <v>4</v>
      </c>
      <c r="C15" s="37">
        <f>SUM(C6:C14)</f>
        <v>0</v>
      </c>
      <c r="D15" s="37">
        <f>SUM(D6:D14)</f>
        <v>0</v>
      </c>
      <c r="E15" s="37">
        <f>SUM(E6:E14)</f>
        <v>0</v>
      </c>
      <c r="F15" s="38" t="s">
        <v>22</v>
      </c>
      <c r="G15" s="37">
        <f>SUM(G6:G14)</f>
        <v>0</v>
      </c>
      <c r="H15" s="37">
        <f>SUM(H6:H14)</f>
        <v>0</v>
      </c>
      <c r="I15" s="37">
        <f>SUM(I6:I14)</f>
        <v>0</v>
      </c>
      <c r="J15" s="38" t="s">
        <v>22</v>
      </c>
      <c r="K15" s="37">
        <f>SUM(K6:K14)</f>
        <v>0</v>
      </c>
      <c r="L15" s="37">
        <f>SUM(L6:L14)</f>
        <v>0</v>
      </c>
      <c r="M15" s="37">
        <f>SUM(M6:M14)</f>
        <v>0</v>
      </c>
      <c r="N15" s="38" t="s">
        <v>22</v>
      </c>
      <c r="O15" s="37">
        <f>SUM(O6:O14)</f>
        <v>0</v>
      </c>
      <c r="P15" s="37">
        <f>SUM(P6:P14)</f>
        <v>0</v>
      </c>
      <c r="Q15" s="37">
        <f>SUM(Q6:Q14)</f>
        <v>0</v>
      </c>
      <c r="R15" s="50" t="s">
        <v>22</v>
      </c>
      <c r="S15" s="62">
        <f t="shared" si="4"/>
        <v>0</v>
      </c>
      <c r="T15" s="63">
        <f t="shared" si="5"/>
        <v>0</v>
      </c>
      <c r="U15" s="63">
        <f t="shared" si="6"/>
        <v>0</v>
      </c>
      <c r="V15" s="64"/>
    </row>
    <row r="19" spans="2:22" ht="21" x14ac:dyDescent="0.3">
      <c r="B19" s="42" t="s">
        <v>40</v>
      </c>
    </row>
    <row r="20" spans="2:22" ht="15" thickBot="1" x14ac:dyDescent="0.35"/>
    <row r="21" spans="2:22" ht="18.600000000000001" thickTop="1" x14ac:dyDescent="0.3">
      <c r="B21" s="226"/>
      <c r="C21" s="228" t="s">
        <v>12</v>
      </c>
      <c r="D21" s="229"/>
      <c r="E21" s="229"/>
      <c r="F21" s="230"/>
      <c r="G21" s="228" t="s">
        <v>14</v>
      </c>
      <c r="H21" s="229"/>
      <c r="I21" s="229"/>
      <c r="J21" s="230"/>
      <c r="K21" s="228" t="s">
        <v>13</v>
      </c>
      <c r="L21" s="229"/>
      <c r="M21" s="229"/>
      <c r="N21" s="230"/>
      <c r="O21" s="228" t="s">
        <v>38</v>
      </c>
      <c r="P21" s="229"/>
      <c r="Q21" s="229"/>
      <c r="R21" s="229"/>
      <c r="S21" s="47"/>
      <c r="T21" s="48"/>
      <c r="U21" s="48"/>
      <c r="V21" s="49"/>
    </row>
    <row r="22" spans="2:22" ht="18.600000000000001" thickBot="1" x14ac:dyDescent="0.35">
      <c r="B22" s="227"/>
      <c r="C22" s="231"/>
      <c r="D22" s="232"/>
      <c r="E22" s="232"/>
      <c r="F22" s="233"/>
      <c r="G22" s="231"/>
      <c r="H22" s="232"/>
      <c r="I22" s="232"/>
      <c r="J22" s="233"/>
      <c r="K22" s="231"/>
      <c r="L22" s="232"/>
      <c r="M22" s="232"/>
      <c r="N22" s="233"/>
      <c r="O22" s="231" t="s">
        <v>39</v>
      </c>
      <c r="P22" s="232"/>
      <c r="Q22" s="232"/>
      <c r="R22" s="232"/>
      <c r="S22" s="82" t="s">
        <v>4</v>
      </c>
      <c r="T22" s="83"/>
      <c r="U22" s="83"/>
      <c r="V22" s="84"/>
    </row>
    <row r="23" spans="2:22" ht="36.6" thickBot="1" x14ac:dyDescent="0.35">
      <c r="B23" s="26" t="s">
        <v>5</v>
      </c>
      <c r="C23" s="39" t="s">
        <v>6</v>
      </c>
      <c r="D23" s="39" t="s">
        <v>7</v>
      </c>
      <c r="E23" s="39" t="s">
        <v>9</v>
      </c>
      <c r="F23" s="40" t="s">
        <v>8</v>
      </c>
      <c r="G23" s="39" t="s">
        <v>6</v>
      </c>
      <c r="H23" s="39" t="s">
        <v>7</v>
      </c>
      <c r="I23" s="39" t="s">
        <v>9</v>
      </c>
      <c r="J23" s="40" t="s">
        <v>8</v>
      </c>
      <c r="K23" s="39" t="s">
        <v>6</v>
      </c>
      <c r="L23" s="39" t="s">
        <v>7</v>
      </c>
      <c r="M23" s="39" t="s">
        <v>9</v>
      </c>
      <c r="N23" s="40" t="s">
        <v>8</v>
      </c>
      <c r="O23" s="39" t="s">
        <v>6</v>
      </c>
      <c r="P23" s="39" t="s">
        <v>7</v>
      </c>
      <c r="Q23" s="39" t="s">
        <v>9</v>
      </c>
      <c r="R23" s="46" t="s">
        <v>8</v>
      </c>
      <c r="S23" s="51" t="s">
        <v>6</v>
      </c>
      <c r="T23" s="51" t="s">
        <v>7</v>
      </c>
      <c r="U23" s="51" t="s">
        <v>9</v>
      </c>
      <c r="V23" s="52" t="s">
        <v>8</v>
      </c>
    </row>
    <row r="24" spans="2:22" ht="19.2" thickTop="1" thickBot="1" x14ac:dyDescent="0.35">
      <c r="B24" s="29">
        <v>2000</v>
      </c>
      <c r="C24" s="41"/>
      <c r="D24" s="41"/>
      <c r="E24" s="30">
        <f>C24-D24</f>
        <v>0</v>
      </c>
      <c r="F24" s="31">
        <f>E24</f>
        <v>0</v>
      </c>
      <c r="G24" s="41"/>
      <c r="H24" s="41"/>
      <c r="I24" s="30">
        <f>G24-H24</f>
        <v>0</v>
      </c>
      <c r="J24" s="31">
        <f>I24</f>
        <v>0</v>
      </c>
      <c r="K24" s="41"/>
      <c r="L24" s="41"/>
      <c r="M24" s="30">
        <f>K24-L24</f>
        <v>0</v>
      </c>
      <c r="N24" s="31">
        <f>M24</f>
        <v>0</v>
      </c>
      <c r="O24" s="140"/>
      <c r="P24" s="41"/>
      <c r="Q24" s="30">
        <f>O24-P24</f>
        <v>0</v>
      </c>
      <c r="R24" s="31">
        <f>Q24</f>
        <v>0</v>
      </c>
      <c r="S24" s="53">
        <f>SUMIF($C$5:$R$5,S$5,$C24:$R24)</f>
        <v>0</v>
      </c>
      <c r="T24" s="54">
        <f>-SUMIF($C$5:$R$5,T$5,$C24:$R24)</f>
        <v>0</v>
      </c>
      <c r="U24" s="54">
        <f t="shared" ref="U24:V33" si="11">SUMIF($C$5:$R$5,U$5,$C24:$R24)</f>
        <v>0</v>
      </c>
      <c r="V24" s="55">
        <f t="shared" si="11"/>
        <v>0</v>
      </c>
    </row>
    <row r="25" spans="2:22" ht="18.600000000000001" thickBot="1" x14ac:dyDescent="0.35">
      <c r="B25" s="32">
        <v>2010</v>
      </c>
      <c r="C25" s="41"/>
      <c r="D25" s="41"/>
      <c r="E25" s="33">
        <f>C25-D25</f>
        <v>0</v>
      </c>
      <c r="F25" s="34">
        <f t="shared" ref="F25:F32" si="12">F24+E25</f>
        <v>0</v>
      </c>
      <c r="G25" s="41"/>
      <c r="H25" s="41"/>
      <c r="I25" s="33">
        <f>G25-H25</f>
        <v>0</v>
      </c>
      <c r="J25" s="34">
        <f t="shared" ref="J25:J32" si="13">J24+I25</f>
        <v>0</v>
      </c>
      <c r="K25" s="41"/>
      <c r="L25" s="41"/>
      <c r="M25" s="33">
        <f>K25-L25</f>
        <v>0</v>
      </c>
      <c r="N25" s="34">
        <f t="shared" ref="N25:N32" si="14">N24+M25</f>
        <v>0</v>
      </c>
      <c r="O25" s="140"/>
      <c r="P25" s="41"/>
      <c r="Q25" s="33">
        <f>O25-P25</f>
        <v>0</v>
      </c>
      <c r="R25" s="34">
        <f t="shared" ref="R25:R32" si="15">R24+Q25</f>
        <v>0</v>
      </c>
      <c r="S25" s="56">
        <f t="shared" ref="S25:S33" si="16">SUMIF($C$5:$R$5,S$5,$C25:$R25)</f>
        <v>0</v>
      </c>
      <c r="T25" s="33">
        <f t="shared" ref="T25:T33" si="17">-SUMIF($C$5:$R$5,T$5,$C25:$R25)</f>
        <v>0</v>
      </c>
      <c r="U25" s="33">
        <f t="shared" si="11"/>
        <v>0</v>
      </c>
      <c r="V25" s="57">
        <f t="shared" si="11"/>
        <v>0</v>
      </c>
    </row>
    <row r="26" spans="2:22" ht="18.600000000000001" thickBot="1" x14ac:dyDescent="0.35">
      <c r="B26" s="29">
        <v>2020</v>
      </c>
      <c r="C26" s="41"/>
      <c r="D26" s="41"/>
      <c r="E26" s="30">
        <f>C26-D26</f>
        <v>0</v>
      </c>
      <c r="F26" s="31">
        <f t="shared" si="12"/>
        <v>0</v>
      </c>
      <c r="G26" s="41"/>
      <c r="H26" s="41"/>
      <c r="I26" s="30">
        <f>G26-H26</f>
        <v>0</v>
      </c>
      <c r="J26" s="31">
        <f t="shared" si="13"/>
        <v>0</v>
      </c>
      <c r="K26" s="41"/>
      <c r="L26" s="41"/>
      <c r="M26" s="30">
        <f>K26-L26</f>
        <v>0</v>
      </c>
      <c r="N26" s="31">
        <f t="shared" si="14"/>
        <v>0</v>
      </c>
      <c r="O26" s="140"/>
      <c r="P26" s="41"/>
      <c r="Q26" s="30">
        <f>O26-P26</f>
        <v>0</v>
      </c>
      <c r="R26" s="31">
        <f t="shared" si="15"/>
        <v>0</v>
      </c>
      <c r="S26" s="58">
        <f t="shared" si="16"/>
        <v>0</v>
      </c>
      <c r="T26" s="30">
        <f t="shared" si="17"/>
        <v>0</v>
      </c>
      <c r="U26" s="30">
        <f t="shared" si="11"/>
        <v>0</v>
      </c>
      <c r="V26" s="59">
        <f t="shared" si="11"/>
        <v>0</v>
      </c>
    </row>
    <row r="27" spans="2:22" ht="18.600000000000001" thickBot="1" x14ac:dyDescent="0.35">
      <c r="B27" s="32">
        <v>2030</v>
      </c>
      <c r="C27" s="41"/>
      <c r="D27" s="41"/>
      <c r="E27" s="33">
        <f t="shared" ref="E27:E32" si="18">C27-D27</f>
        <v>0</v>
      </c>
      <c r="F27" s="34">
        <f t="shared" si="12"/>
        <v>0</v>
      </c>
      <c r="G27" s="41"/>
      <c r="H27" s="41"/>
      <c r="I27" s="33">
        <f t="shared" ref="I27:I32" si="19">G27-H27</f>
        <v>0</v>
      </c>
      <c r="J27" s="34">
        <f t="shared" si="13"/>
        <v>0</v>
      </c>
      <c r="K27" s="41"/>
      <c r="L27" s="41"/>
      <c r="M27" s="33">
        <f t="shared" ref="M27:M32" si="20">K27-L27</f>
        <v>0</v>
      </c>
      <c r="N27" s="34">
        <f t="shared" si="14"/>
        <v>0</v>
      </c>
      <c r="O27" s="140"/>
      <c r="P27" s="41"/>
      <c r="Q27" s="33">
        <f t="shared" ref="Q27:Q32" si="21">O27-P27</f>
        <v>0</v>
      </c>
      <c r="R27" s="34">
        <f t="shared" si="15"/>
        <v>0</v>
      </c>
      <c r="S27" s="56">
        <f t="shared" si="16"/>
        <v>0</v>
      </c>
      <c r="T27" s="33">
        <f t="shared" si="17"/>
        <v>0</v>
      </c>
      <c r="U27" s="33">
        <f t="shared" si="11"/>
        <v>0</v>
      </c>
      <c r="V27" s="57">
        <f t="shared" si="11"/>
        <v>0</v>
      </c>
    </row>
    <row r="28" spans="2:22" ht="18.600000000000001" thickBot="1" x14ac:dyDescent="0.35">
      <c r="B28" s="29">
        <v>2040</v>
      </c>
      <c r="C28" s="41"/>
      <c r="D28" s="41"/>
      <c r="E28" s="30">
        <f t="shared" si="18"/>
        <v>0</v>
      </c>
      <c r="F28" s="31">
        <f t="shared" si="12"/>
        <v>0</v>
      </c>
      <c r="G28" s="41"/>
      <c r="H28" s="41"/>
      <c r="I28" s="30">
        <f t="shared" si="19"/>
        <v>0</v>
      </c>
      <c r="J28" s="31">
        <f t="shared" si="13"/>
        <v>0</v>
      </c>
      <c r="K28" s="41"/>
      <c r="L28" s="41"/>
      <c r="M28" s="30">
        <f t="shared" si="20"/>
        <v>0</v>
      </c>
      <c r="N28" s="31">
        <f t="shared" si="14"/>
        <v>0</v>
      </c>
      <c r="O28" s="140"/>
      <c r="P28" s="41"/>
      <c r="Q28" s="30">
        <f t="shared" si="21"/>
        <v>0</v>
      </c>
      <c r="R28" s="31">
        <f t="shared" si="15"/>
        <v>0</v>
      </c>
      <c r="S28" s="58">
        <f t="shared" si="16"/>
        <v>0</v>
      </c>
      <c r="T28" s="30">
        <f t="shared" si="17"/>
        <v>0</v>
      </c>
      <c r="U28" s="30">
        <f t="shared" si="11"/>
        <v>0</v>
      </c>
      <c r="V28" s="59">
        <f t="shared" si="11"/>
        <v>0</v>
      </c>
    </row>
    <row r="29" spans="2:22" ht="18.600000000000001" thickBot="1" x14ac:dyDescent="0.35">
      <c r="B29" s="32">
        <v>2050</v>
      </c>
      <c r="C29" s="41"/>
      <c r="D29" s="41"/>
      <c r="E29" s="33">
        <f t="shared" si="18"/>
        <v>0</v>
      </c>
      <c r="F29" s="34">
        <f t="shared" si="12"/>
        <v>0</v>
      </c>
      <c r="G29" s="41"/>
      <c r="H29" s="41"/>
      <c r="I29" s="33">
        <f t="shared" si="19"/>
        <v>0</v>
      </c>
      <c r="J29" s="34">
        <f t="shared" si="13"/>
        <v>0</v>
      </c>
      <c r="K29" s="41"/>
      <c r="L29" s="41"/>
      <c r="M29" s="33">
        <f t="shared" si="20"/>
        <v>0</v>
      </c>
      <c r="N29" s="34">
        <f t="shared" si="14"/>
        <v>0</v>
      </c>
      <c r="O29" s="140"/>
      <c r="P29" s="41"/>
      <c r="Q29" s="33">
        <f t="shared" si="21"/>
        <v>0</v>
      </c>
      <c r="R29" s="34">
        <f t="shared" si="15"/>
        <v>0</v>
      </c>
      <c r="S29" s="56">
        <f t="shared" si="16"/>
        <v>0</v>
      </c>
      <c r="T29" s="33">
        <f t="shared" si="17"/>
        <v>0</v>
      </c>
      <c r="U29" s="33">
        <f t="shared" si="11"/>
        <v>0</v>
      </c>
      <c r="V29" s="57">
        <f t="shared" si="11"/>
        <v>0</v>
      </c>
    </row>
    <row r="30" spans="2:22" ht="18.600000000000001" thickBot="1" x14ac:dyDescent="0.35">
      <c r="B30" s="29">
        <v>2060</v>
      </c>
      <c r="C30" s="41"/>
      <c r="D30" s="41"/>
      <c r="E30" s="30">
        <f t="shared" si="18"/>
        <v>0</v>
      </c>
      <c r="F30" s="31">
        <f t="shared" si="12"/>
        <v>0</v>
      </c>
      <c r="G30" s="41"/>
      <c r="H30" s="41"/>
      <c r="I30" s="30">
        <f t="shared" si="19"/>
        <v>0</v>
      </c>
      <c r="J30" s="31">
        <f t="shared" si="13"/>
        <v>0</v>
      </c>
      <c r="K30" s="41"/>
      <c r="L30" s="41"/>
      <c r="M30" s="30">
        <f t="shared" si="20"/>
        <v>0</v>
      </c>
      <c r="N30" s="31">
        <f t="shared" si="14"/>
        <v>0</v>
      </c>
      <c r="O30" s="140"/>
      <c r="P30" s="41"/>
      <c r="Q30" s="30">
        <f t="shared" si="21"/>
        <v>0</v>
      </c>
      <c r="R30" s="31">
        <f t="shared" si="15"/>
        <v>0</v>
      </c>
      <c r="S30" s="58">
        <f t="shared" si="16"/>
        <v>0</v>
      </c>
      <c r="T30" s="30">
        <f t="shared" si="17"/>
        <v>0</v>
      </c>
      <c r="U30" s="30">
        <f t="shared" si="11"/>
        <v>0</v>
      </c>
      <c r="V30" s="59">
        <f t="shared" si="11"/>
        <v>0</v>
      </c>
    </row>
    <row r="31" spans="2:22" ht="18.600000000000001" thickBot="1" x14ac:dyDescent="0.35">
      <c r="B31" s="32">
        <v>2070</v>
      </c>
      <c r="C31" s="41"/>
      <c r="D31" s="41"/>
      <c r="E31" s="33">
        <f t="shared" si="18"/>
        <v>0</v>
      </c>
      <c r="F31" s="34">
        <f t="shared" si="12"/>
        <v>0</v>
      </c>
      <c r="G31" s="41"/>
      <c r="H31" s="41"/>
      <c r="I31" s="33">
        <f t="shared" si="19"/>
        <v>0</v>
      </c>
      <c r="J31" s="34">
        <f t="shared" si="13"/>
        <v>0</v>
      </c>
      <c r="K31" s="41"/>
      <c r="L31" s="41"/>
      <c r="M31" s="33">
        <f t="shared" si="20"/>
        <v>0</v>
      </c>
      <c r="N31" s="34">
        <f t="shared" si="14"/>
        <v>0</v>
      </c>
      <c r="O31" s="140"/>
      <c r="P31" s="41"/>
      <c r="Q31" s="33">
        <f t="shared" si="21"/>
        <v>0</v>
      </c>
      <c r="R31" s="34">
        <f t="shared" si="15"/>
        <v>0</v>
      </c>
      <c r="S31" s="56">
        <f t="shared" si="16"/>
        <v>0</v>
      </c>
      <c r="T31" s="33">
        <f>-SUMIF($C$5:$R$5,T$5,$C31:$R31)</f>
        <v>0</v>
      </c>
      <c r="U31" s="33">
        <f t="shared" si="11"/>
        <v>0</v>
      </c>
      <c r="V31" s="57">
        <f t="shared" si="11"/>
        <v>0</v>
      </c>
    </row>
    <row r="32" spans="2:22" ht="18.600000000000001" thickBot="1" x14ac:dyDescent="0.35">
      <c r="B32" s="29">
        <v>2080</v>
      </c>
      <c r="C32" s="41"/>
      <c r="D32" s="41"/>
      <c r="E32" s="30">
        <f t="shared" si="18"/>
        <v>0</v>
      </c>
      <c r="F32" s="31">
        <f t="shared" si="12"/>
        <v>0</v>
      </c>
      <c r="G32" s="41"/>
      <c r="H32" s="41"/>
      <c r="I32" s="30">
        <f t="shared" si="19"/>
        <v>0</v>
      </c>
      <c r="J32" s="31">
        <f t="shared" si="13"/>
        <v>0</v>
      </c>
      <c r="K32" s="41"/>
      <c r="L32" s="41"/>
      <c r="M32" s="30">
        <f t="shared" si="20"/>
        <v>0</v>
      </c>
      <c r="N32" s="31">
        <f t="shared" si="14"/>
        <v>0</v>
      </c>
      <c r="O32" s="140"/>
      <c r="P32" s="41"/>
      <c r="Q32" s="30">
        <f t="shared" si="21"/>
        <v>0</v>
      </c>
      <c r="R32" s="31">
        <f t="shared" si="15"/>
        <v>0</v>
      </c>
      <c r="S32" s="58">
        <f t="shared" si="16"/>
        <v>0</v>
      </c>
      <c r="T32" s="30">
        <f t="shared" si="17"/>
        <v>0</v>
      </c>
      <c r="U32" s="30">
        <f t="shared" si="11"/>
        <v>0</v>
      </c>
      <c r="V32" s="59">
        <f t="shared" si="11"/>
        <v>0</v>
      </c>
    </row>
    <row r="33" spans="2:22" ht="18.600000000000001" thickBot="1" x14ac:dyDescent="0.35">
      <c r="B33" s="36" t="s">
        <v>4</v>
      </c>
      <c r="C33" s="37">
        <f>SUM(C24:C32)</f>
        <v>0</v>
      </c>
      <c r="D33" s="37">
        <f>SUM(D24:D32)</f>
        <v>0</v>
      </c>
      <c r="E33" s="37">
        <f>SUM(E24:E32)</f>
        <v>0</v>
      </c>
      <c r="F33" s="38" t="s">
        <v>22</v>
      </c>
      <c r="G33" s="37">
        <f>SUM(G24:G32)</f>
        <v>0</v>
      </c>
      <c r="H33" s="37">
        <f>SUM(H24:H32)</f>
        <v>0</v>
      </c>
      <c r="I33" s="37">
        <f>SUM(I24:I32)</f>
        <v>0</v>
      </c>
      <c r="J33" s="38" t="s">
        <v>22</v>
      </c>
      <c r="K33" s="37">
        <f>SUM(K24:K32)</f>
        <v>0</v>
      </c>
      <c r="L33" s="37">
        <f>SUM(L24:L32)</f>
        <v>0</v>
      </c>
      <c r="M33" s="37">
        <f>SUM(M24:M32)</f>
        <v>0</v>
      </c>
      <c r="N33" s="38" t="s">
        <v>22</v>
      </c>
      <c r="O33" s="37">
        <f>SUM(O24:O32)</f>
        <v>0</v>
      </c>
      <c r="P33" s="37">
        <f>SUM(P24:P32)</f>
        <v>0</v>
      </c>
      <c r="Q33" s="37">
        <f>SUM(Q24:Q32)</f>
        <v>0</v>
      </c>
      <c r="R33" s="38" t="s">
        <v>22</v>
      </c>
      <c r="S33" s="62">
        <f t="shared" si="16"/>
        <v>0</v>
      </c>
      <c r="T33" s="63">
        <f t="shared" si="17"/>
        <v>0</v>
      </c>
      <c r="U33" s="63">
        <f t="shared" si="11"/>
        <v>0</v>
      </c>
      <c r="V33" s="64"/>
    </row>
    <row r="36" spans="2:22" s="141" customFormat="1" ht="21" x14ac:dyDescent="0.3">
      <c r="B36" s="24" t="s">
        <v>41</v>
      </c>
    </row>
    <row r="37" spans="2:22" ht="21.6" thickBot="1" x14ac:dyDescent="0.35">
      <c r="B37" s="24"/>
    </row>
    <row r="38" spans="2:22" ht="19.2" thickTop="1" thickBot="1" x14ac:dyDescent="0.35">
      <c r="B38" s="25"/>
      <c r="C38" s="223" t="s">
        <v>0</v>
      </c>
      <c r="D38" s="224"/>
      <c r="E38" s="224"/>
      <c r="F38" s="225"/>
      <c r="G38" s="223" t="s">
        <v>18</v>
      </c>
      <c r="H38" s="224"/>
      <c r="I38" s="224"/>
      <c r="J38" s="225"/>
      <c r="K38" s="223" t="s">
        <v>2</v>
      </c>
      <c r="L38" s="224"/>
      <c r="M38" s="224"/>
      <c r="N38" s="225"/>
      <c r="O38" s="223" t="s">
        <v>3</v>
      </c>
      <c r="P38" s="224"/>
      <c r="Q38" s="224"/>
      <c r="R38" s="225"/>
      <c r="S38" s="43" t="s">
        <v>4</v>
      </c>
      <c r="T38" s="44"/>
      <c r="U38" s="44"/>
      <c r="V38" s="45"/>
    </row>
    <row r="39" spans="2:22" ht="36.6" thickBot="1" x14ac:dyDescent="0.35">
      <c r="B39" s="26" t="s">
        <v>5</v>
      </c>
      <c r="C39" s="27" t="s">
        <v>6</v>
      </c>
      <c r="D39" s="27" t="s">
        <v>7</v>
      </c>
      <c r="E39" s="27" t="s">
        <v>9</v>
      </c>
      <c r="F39" s="28" t="s">
        <v>8</v>
      </c>
      <c r="G39" s="27" t="s">
        <v>6</v>
      </c>
      <c r="H39" s="27" t="s">
        <v>7</v>
      </c>
      <c r="I39" s="27" t="s">
        <v>9</v>
      </c>
      <c r="J39" s="28" t="s">
        <v>8</v>
      </c>
      <c r="K39" s="27" t="s">
        <v>6</v>
      </c>
      <c r="L39" s="27" t="s">
        <v>7</v>
      </c>
      <c r="M39" s="27" t="s">
        <v>9</v>
      </c>
      <c r="N39" s="28" t="s">
        <v>8</v>
      </c>
      <c r="O39" s="27" t="s">
        <v>6</v>
      </c>
      <c r="P39" s="27" t="s">
        <v>7</v>
      </c>
      <c r="Q39" s="27" t="s">
        <v>9</v>
      </c>
      <c r="R39" s="28" t="s">
        <v>8</v>
      </c>
      <c r="S39" s="51" t="s">
        <v>6</v>
      </c>
      <c r="T39" s="51" t="s">
        <v>7</v>
      </c>
      <c r="U39" s="51" t="s">
        <v>9</v>
      </c>
      <c r="V39" s="52" t="s">
        <v>8</v>
      </c>
    </row>
    <row r="40" spans="2:22" ht="19.2" thickTop="1" thickBot="1" x14ac:dyDescent="0.35">
      <c r="B40" s="29">
        <v>2000</v>
      </c>
      <c r="C40" s="41"/>
      <c r="D40" s="140"/>
      <c r="E40" s="30">
        <f>C40-D40</f>
        <v>0</v>
      </c>
      <c r="F40" s="31">
        <f>E40</f>
        <v>0</v>
      </c>
      <c r="G40" s="41"/>
      <c r="H40" s="140"/>
      <c r="I40" s="30">
        <f>G40-H40</f>
        <v>0</v>
      </c>
      <c r="J40" s="31">
        <f>I40</f>
        <v>0</v>
      </c>
      <c r="K40" s="41"/>
      <c r="L40" s="140"/>
      <c r="M40" s="30">
        <f>K40-L40</f>
        <v>0</v>
      </c>
      <c r="N40" s="31">
        <f>M40</f>
        <v>0</v>
      </c>
      <c r="O40" s="41"/>
      <c r="P40" s="140"/>
      <c r="Q40" s="30">
        <f>O40-P40</f>
        <v>0</v>
      </c>
      <c r="R40" s="31">
        <f>Q40</f>
        <v>0</v>
      </c>
      <c r="S40" s="53">
        <f>SUMIF($C$5:$R$5,S$5,$C40:$R40)</f>
        <v>0</v>
      </c>
      <c r="T40" s="54">
        <f>-SUMIF($C$5:$R$5,T$5,$C40:$R40)</f>
        <v>0</v>
      </c>
      <c r="U40" s="54">
        <f t="shared" ref="U40:V48" si="22">SUMIF($C$5:$R$5,U$5,$C40:$R40)</f>
        <v>0</v>
      </c>
      <c r="V40" s="55">
        <f t="shared" si="22"/>
        <v>0</v>
      </c>
    </row>
    <row r="41" spans="2:22" ht="18.600000000000001" thickBot="1" x14ac:dyDescent="0.35">
      <c r="B41" s="32">
        <v>2010</v>
      </c>
      <c r="C41" s="41"/>
      <c r="D41" s="140"/>
      <c r="E41" s="33">
        <f>C41-D41</f>
        <v>0</v>
      </c>
      <c r="F41" s="34">
        <f t="shared" ref="F41:F48" si="23">F40+E41</f>
        <v>0</v>
      </c>
      <c r="G41" s="41"/>
      <c r="H41" s="140"/>
      <c r="I41" s="33">
        <f>G41-H41</f>
        <v>0</v>
      </c>
      <c r="J41" s="34">
        <f t="shared" ref="J41:J48" si="24">J40+I41</f>
        <v>0</v>
      </c>
      <c r="K41" s="41"/>
      <c r="L41" s="140"/>
      <c r="M41" s="33">
        <f>K41-L41</f>
        <v>0</v>
      </c>
      <c r="N41" s="34">
        <f t="shared" ref="N41:N48" si="25">N40+M41</f>
        <v>0</v>
      </c>
      <c r="O41" s="41"/>
      <c r="P41" s="140"/>
      <c r="Q41" s="33">
        <f>O41-P41</f>
        <v>0</v>
      </c>
      <c r="R41" s="34">
        <f t="shared" ref="R41:R48" si="26">R40+Q41</f>
        <v>0</v>
      </c>
      <c r="S41" s="56">
        <f t="shared" ref="S41:S48" si="27">SUMIF($C$5:$R$5,S$5,$C41:$R41)</f>
        <v>0</v>
      </c>
      <c r="T41" s="33">
        <f t="shared" ref="T41:T48" si="28">-SUMIF($C$5:$R$5,T$5,$C41:$R41)</f>
        <v>0</v>
      </c>
      <c r="U41" s="33">
        <f t="shared" si="22"/>
        <v>0</v>
      </c>
      <c r="V41" s="57">
        <f t="shared" si="22"/>
        <v>0</v>
      </c>
    </row>
    <row r="42" spans="2:22" ht="18.600000000000001" thickBot="1" x14ac:dyDescent="0.35">
      <c r="B42" s="29">
        <v>2020</v>
      </c>
      <c r="C42" s="41"/>
      <c r="D42" s="140"/>
      <c r="E42" s="30">
        <f>C42-D42</f>
        <v>0</v>
      </c>
      <c r="F42" s="31">
        <f t="shared" si="23"/>
        <v>0</v>
      </c>
      <c r="G42" s="41"/>
      <c r="H42" s="140"/>
      <c r="I42" s="30">
        <f>G42-H42</f>
        <v>0</v>
      </c>
      <c r="J42" s="31">
        <f t="shared" si="24"/>
        <v>0</v>
      </c>
      <c r="K42" s="41"/>
      <c r="L42" s="140"/>
      <c r="M42" s="30">
        <f>K42-L42</f>
        <v>0</v>
      </c>
      <c r="N42" s="31">
        <f t="shared" si="25"/>
        <v>0</v>
      </c>
      <c r="O42" s="41"/>
      <c r="P42" s="140"/>
      <c r="Q42" s="30">
        <f>O42-P42</f>
        <v>0</v>
      </c>
      <c r="R42" s="31">
        <f t="shared" si="26"/>
        <v>0</v>
      </c>
      <c r="S42" s="58">
        <f t="shared" si="27"/>
        <v>0</v>
      </c>
      <c r="T42" s="30">
        <f t="shared" si="28"/>
        <v>0</v>
      </c>
      <c r="U42" s="30">
        <f t="shared" si="22"/>
        <v>0</v>
      </c>
      <c r="V42" s="59">
        <f t="shared" si="22"/>
        <v>0</v>
      </c>
    </row>
    <row r="43" spans="2:22" ht="18.600000000000001" thickBot="1" x14ac:dyDescent="0.35">
      <c r="B43" s="32">
        <v>2030</v>
      </c>
      <c r="C43" s="41"/>
      <c r="D43" s="140"/>
      <c r="E43" s="33">
        <f t="shared" ref="E43:E48" si="29">C43-D43</f>
        <v>0</v>
      </c>
      <c r="F43" s="34">
        <f t="shared" si="23"/>
        <v>0</v>
      </c>
      <c r="G43" s="41"/>
      <c r="H43" s="140"/>
      <c r="I43" s="33">
        <f t="shared" ref="I43:I48" si="30">G43-H43</f>
        <v>0</v>
      </c>
      <c r="J43" s="34">
        <f t="shared" si="24"/>
        <v>0</v>
      </c>
      <c r="K43" s="41"/>
      <c r="L43" s="140"/>
      <c r="M43" s="33">
        <f t="shared" ref="M43:M48" si="31">K43-L43</f>
        <v>0</v>
      </c>
      <c r="N43" s="34">
        <f t="shared" si="25"/>
        <v>0</v>
      </c>
      <c r="O43" s="41"/>
      <c r="P43" s="140"/>
      <c r="Q43" s="33">
        <f t="shared" ref="Q43:Q48" si="32">O43-P43</f>
        <v>0</v>
      </c>
      <c r="R43" s="34">
        <f t="shared" si="26"/>
        <v>0</v>
      </c>
      <c r="S43" s="56">
        <f t="shared" si="27"/>
        <v>0</v>
      </c>
      <c r="T43" s="33">
        <f t="shared" si="28"/>
        <v>0</v>
      </c>
      <c r="U43" s="33">
        <f t="shared" si="22"/>
        <v>0</v>
      </c>
      <c r="V43" s="57">
        <f t="shared" si="22"/>
        <v>0</v>
      </c>
    </row>
    <row r="44" spans="2:22" ht="18.600000000000001" thickBot="1" x14ac:dyDescent="0.35">
      <c r="B44" s="29">
        <v>2040</v>
      </c>
      <c r="C44" s="41"/>
      <c r="D44" s="140"/>
      <c r="E44" s="30">
        <f t="shared" si="29"/>
        <v>0</v>
      </c>
      <c r="F44" s="31">
        <f t="shared" si="23"/>
        <v>0</v>
      </c>
      <c r="G44" s="41"/>
      <c r="H44" s="140"/>
      <c r="I44" s="30">
        <f t="shared" si="30"/>
        <v>0</v>
      </c>
      <c r="J44" s="31">
        <f t="shared" si="24"/>
        <v>0</v>
      </c>
      <c r="K44" s="41"/>
      <c r="L44" s="140"/>
      <c r="M44" s="30">
        <f t="shared" si="31"/>
        <v>0</v>
      </c>
      <c r="N44" s="31">
        <f t="shared" si="25"/>
        <v>0</v>
      </c>
      <c r="O44" s="41"/>
      <c r="P44" s="140"/>
      <c r="Q44" s="30">
        <f t="shared" si="32"/>
        <v>0</v>
      </c>
      <c r="R44" s="31">
        <f t="shared" si="26"/>
        <v>0</v>
      </c>
      <c r="S44" s="58">
        <f t="shared" si="27"/>
        <v>0</v>
      </c>
      <c r="T44" s="30">
        <f t="shared" si="28"/>
        <v>0</v>
      </c>
      <c r="U44" s="30">
        <f t="shared" si="22"/>
        <v>0</v>
      </c>
      <c r="V44" s="59">
        <f t="shared" si="22"/>
        <v>0</v>
      </c>
    </row>
    <row r="45" spans="2:22" ht="18.600000000000001" thickBot="1" x14ac:dyDescent="0.35">
      <c r="B45" s="32">
        <v>2050</v>
      </c>
      <c r="C45" s="41"/>
      <c r="D45" s="140"/>
      <c r="E45" s="33">
        <f t="shared" si="29"/>
        <v>0</v>
      </c>
      <c r="F45" s="34">
        <f t="shared" si="23"/>
        <v>0</v>
      </c>
      <c r="G45" s="41"/>
      <c r="H45" s="140"/>
      <c r="I45" s="33">
        <f t="shared" si="30"/>
        <v>0</v>
      </c>
      <c r="J45" s="34">
        <f t="shared" si="24"/>
        <v>0</v>
      </c>
      <c r="K45" s="41"/>
      <c r="L45" s="140"/>
      <c r="M45" s="33">
        <f t="shared" si="31"/>
        <v>0</v>
      </c>
      <c r="N45" s="34">
        <f t="shared" si="25"/>
        <v>0</v>
      </c>
      <c r="O45" s="41"/>
      <c r="P45" s="140"/>
      <c r="Q45" s="33">
        <f t="shared" si="32"/>
        <v>0</v>
      </c>
      <c r="R45" s="34">
        <f t="shared" si="26"/>
        <v>0</v>
      </c>
      <c r="S45" s="56">
        <f t="shared" si="27"/>
        <v>0</v>
      </c>
      <c r="T45" s="33">
        <f t="shared" si="28"/>
        <v>0</v>
      </c>
      <c r="U45" s="33">
        <f t="shared" si="22"/>
        <v>0</v>
      </c>
      <c r="V45" s="57">
        <f t="shared" si="22"/>
        <v>0</v>
      </c>
    </row>
    <row r="46" spans="2:22" ht="18.600000000000001" thickBot="1" x14ac:dyDescent="0.35">
      <c r="B46" s="32">
        <v>2060</v>
      </c>
      <c r="C46" s="41"/>
      <c r="D46" s="140"/>
      <c r="E46" s="30">
        <f t="shared" si="29"/>
        <v>0</v>
      </c>
      <c r="F46" s="31">
        <f t="shared" si="23"/>
        <v>0</v>
      </c>
      <c r="G46" s="41"/>
      <c r="H46" s="140"/>
      <c r="I46" s="30">
        <f t="shared" si="30"/>
        <v>0</v>
      </c>
      <c r="J46" s="31">
        <f t="shared" si="24"/>
        <v>0</v>
      </c>
      <c r="K46" s="41"/>
      <c r="L46" s="140"/>
      <c r="M46" s="30">
        <f t="shared" si="31"/>
        <v>0</v>
      </c>
      <c r="N46" s="31">
        <f t="shared" si="25"/>
        <v>0</v>
      </c>
      <c r="O46" s="41"/>
      <c r="P46" s="140"/>
      <c r="Q46" s="30">
        <f t="shared" si="32"/>
        <v>0</v>
      </c>
      <c r="R46" s="31">
        <f t="shared" si="26"/>
        <v>0</v>
      </c>
      <c r="S46" s="58">
        <f t="shared" si="27"/>
        <v>0</v>
      </c>
      <c r="T46" s="30">
        <f t="shared" si="28"/>
        <v>0</v>
      </c>
      <c r="U46" s="30">
        <f t="shared" si="22"/>
        <v>0</v>
      </c>
      <c r="V46" s="59">
        <f t="shared" si="22"/>
        <v>0</v>
      </c>
    </row>
    <row r="47" spans="2:22" ht="18.600000000000001" thickBot="1" x14ac:dyDescent="0.35">
      <c r="B47" s="29">
        <v>2070</v>
      </c>
      <c r="C47" s="41"/>
      <c r="D47" s="140"/>
      <c r="E47" s="33">
        <f t="shared" si="29"/>
        <v>0</v>
      </c>
      <c r="F47" s="34">
        <f t="shared" si="23"/>
        <v>0</v>
      </c>
      <c r="G47" s="41"/>
      <c r="H47" s="140"/>
      <c r="I47" s="33">
        <f t="shared" si="30"/>
        <v>0</v>
      </c>
      <c r="J47" s="34">
        <f t="shared" si="24"/>
        <v>0</v>
      </c>
      <c r="K47" s="41"/>
      <c r="L47" s="140"/>
      <c r="M47" s="33">
        <f t="shared" si="31"/>
        <v>0</v>
      </c>
      <c r="N47" s="34">
        <f t="shared" si="25"/>
        <v>0</v>
      </c>
      <c r="O47" s="41"/>
      <c r="P47" s="140"/>
      <c r="Q47" s="33">
        <f t="shared" si="32"/>
        <v>0</v>
      </c>
      <c r="R47" s="34">
        <f t="shared" si="26"/>
        <v>0</v>
      </c>
      <c r="S47" s="56">
        <f t="shared" si="27"/>
        <v>0</v>
      </c>
      <c r="T47" s="33">
        <f>-SUMIF($C$5:$R$5,T$5,$C47:$R47)</f>
        <v>0</v>
      </c>
      <c r="U47" s="33">
        <f t="shared" si="22"/>
        <v>0</v>
      </c>
      <c r="V47" s="57">
        <f t="shared" si="22"/>
        <v>0</v>
      </c>
    </row>
    <row r="48" spans="2:22" ht="18.600000000000001" thickBot="1" x14ac:dyDescent="0.35">
      <c r="B48" s="32">
        <v>2080</v>
      </c>
      <c r="C48" s="41"/>
      <c r="D48" s="140"/>
      <c r="E48" s="30">
        <f t="shared" si="29"/>
        <v>0</v>
      </c>
      <c r="F48" s="31">
        <f t="shared" si="23"/>
        <v>0</v>
      </c>
      <c r="G48" s="41"/>
      <c r="H48" s="140"/>
      <c r="I48" s="30">
        <f t="shared" si="30"/>
        <v>0</v>
      </c>
      <c r="J48" s="31">
        <f t="shared" si="24"/>
        <v>0</v>
      </c>
      <c r="K48" s="41"/>
      <c r="L48" s="140"/>
      <c r="M48" s="30">
        <f t="shared" si="31"/>
        <v>0</v>
      </c>
      <c r="N48" s="31">
        <f t="shared" si="25"/>
        <v>0</v>
      </c>
      <c r="O48" s="41"/>
      <c r="P48" s="140"/>
      <c r="Q48" s="30">
        <f t="shared" si="32"/>
        <v>0</v>
      </c>
      <c r="R48" s="31">
        <f t="shared" si="26"/>
        <v>0</v>
      </c>
      <c r="S48" s="58">
        <f t="shared" si="27"/>
        <v>0</v>
      </c>
      <c r="T48" s="30">
        <f t="shared" si="28"/>
        <v>0</v>
      </c>
      <c r="U48" s="30">
        <f t="shared" si="22"/>
        <v>0</v>
      </c>
      <c r="V48" s="59">
        <f t="shared" si="22"/>
        <v>0</v>
      </c>
    </row>
    <row r="49" spans="2:22" ht="18.600000000000001" thickBot="1" x14ac:dyDescent="0.35">
      <c r="B49" s="66" t="s">
        <v>4</v>
      </c>
      <c r="C49" s="37">
        <f>SUM(C40:C48)</f>
        <v>0</v>
      </c>
      <c r="D49" s="37">
        <f>SUM(D40:D48)</f>
        <v>0</v>
      </c>
      <c r="E49" s="37">
        <f>SUM(E40:E48)</f>
        <v>0</v>
      </c>
      <c r="F49" s="38" t="s">
        <v>22</v>
      </c>
      <c r="G49" s="37">
        <f>SUM(G40:G48)</f>
        <v>0</v>
      </c>
      <c r="H49" s="37">
        <f>SUM(H40:H48)</f>
        <v>0</v>
      </c>
      <c r="I49" s="37">
        <f>SUM(I40:I48)</f>
        <v>0</v>
      </c>
      <c r="J49" s="38" t="s">
        <v>22</v>
      </c>
      <c r="K49" s="37">
        <f>SUM(K40:K48)</f>
        <v>0</v>
      </c>
      <c r="L49" s="37">
        <f>SUM(L40:L48)</f>
        <v>0</v>
      </c>
      <c r="M49" s="37">
        <f>SUM(M40:M48)</f>
        <v>0</v>
      </c>
      <c r="N49" s="38" t="s">
        <v>22</v>
      </c>
      <c r="O49" s="37">
        <f>SUM(O40:O48)</f>
        <v>0</v>
      </c>
      <c r="P49" s="37">
        <f>SUM(P40:P48)</f>
        <v>0</v>
      </c>
      <c r="Q49" s="37">
        <f>SUM(Q40:Q48)</f>
        <v>0</v>
      </c>
      <c r="R49" s="38" t="s">
        <v>22</v>
      </c>
      <c r="S49" s="62">
        <f t="shared" ref="S49:U49" si="33">SUMIF($C$23:$R$23,S$23,$C49:$R49)</f>
        <v>0</v>
      </c>
      <c r="T49" s="63">
        <f t="shared" si="33"/>
        <v>0</v>
      </c>
      <c r="U49" s="63">
        <f t="shared" si="33"/>
        <v>0</v>
      </c>
      <c r="V49" s="64"/>
    </row>
    <row r="52" spans="2:22" ht="21" x14ac:dyDescent="0.3">
      <c r="B52" s="85" t="s">
        <v>42</v>
      </c>
    </row>
    <row r="53" spans="2:22" ht="15" thickBot="1" x14ac:dyDescent="0.35"/>
    <row r="54" spans="2:22" ht="19.2" thickTop="1" thickBot="1" x14ac:dyDescent="0.35">
      <c r="B54" s="25"/>
      <c r="C54" s="223"/>
      <c r="D54" s="224"/>
      <c r="E54" s="224"/>
      <c r="F54" s="225"/>
      <c r="G54" s="223"/>
      <c r="H54" s="224"/>
      <c r="I54" s="224"/>
      <c r="J54" s="225"/>
      <c r="K54" s="223"/>
      <c r="L54" s="224"/>
      <c r="M54" s="224"/>
      <c r="N54" s="225"/>
      <c r="O54" s="223"/>
      <c r="P54" s="224"/>
      <c r="Q54" s="224"/>
      <c r="R54" s="225"/>
      <c r="S54" s="43" t="s">
        <v>4</v>
      </c>
      <c r="T54" s="44"/>
      <c r="U54" s="44"/>
      <c r="V54" s="45"/>
    </row>
    <row r="55" spans="2:22" ht="36.6" thickBot="1" x14ac:dyDescent="0.35">
      <c r="B55" s="26" t="s">
        <v>5</v>
      </c>
      <c r="C55" s="27" t="s">
        <v>6</v>
      </c>
      <c r="D55" s="27" t="s">
        <v>7</v>
      </c>
      <c r="E55" s="27" t="s">
        <v>9</v>
      </c>
      <c r="F55" s="28" t="s">
        <v>8</v>
      </c>
      <c r="G55" s="27" t="s">
        <v>6</v>
      </c>
      <c r="H55" s="27" t="s">
        <v>7</v>
      </c>
      <c r="I55" s="27" t="s">
        <v>9</v>
      </c>
      <c r="J55" s="28" t="s">
        <v>8</v>
      </c>
      <c r="K55" s="27" t="s">
        <v>6</v>
      </c>
      <c r="L55" s="27" t="s">
        <v>7</v>
      </c>
      <c r="M55" s="27" t="s">
        <v>9</v>
      </c>
      <c r="N55" s="28" t="s">
        <v>8</v>
      </c>
      <c r="O55" s="27" t="s">
        <v>6</v>
      </c>
      <c r="P55" s="27" t="s">
        <v>7</v>
      </c>
      <c r="Q55" s="27" t="s">
        <v>9</v>
      </c>
      <c r="R55" s="28" t="s">
        <v>8</v>
      </c>
      <c r="S55" s="51" t="s">
        <v>6</v>
      </c>
      <c r="T55" s="51" t="s">
        <v>7</v>
      </c>
      <c r="U55" s="51" t="s">
        <v>9</v>
      </c>
      <c r="V55" s="52" t="s">
        <v>8</v>
      </c>
    </row>
    <row r="56" spans="2:22" ht="19.2" thickTop="1" thickBot="1" x14ac:dyDescent="0.35">
      <c r="B56" s="29">
        <v>2000</v>
      </c>
      <c r="C56" s="67"/>
      <c r="D56" s="68"/>
      <c r="E56" s="68"/>
      <c r="F56" s="69"/>
      <c r="G56" s="67"/>
      <c r="H56" s="68"/>
      <c r="I56" s="68"/>
      <c r="J56" s="69"/>
      <c r="K56" s="67"/>
      <c r="L56" s="68"/>
      <c r="M56" s="68"/>
      <c r="N56" s="69"/>
      <c r="O56" s="67"/>
      <c r="P56" s="68"/>
      <c r="Q56" s="68"/>
      <c r="R56" s="69"/>
      <c r="S56" s="53">
        <f t="shared" ref="S56:V66" si="34">SUMIF($B$6:$B$49,$B56,S$6:S$49)</f>
        <v>0</v>
      </c>
      <c r="T56" s="54">
        <f t="shared" si="34"/>
        <v>0</v>
      </c>
      <c r="U56" s="54">
        <f t="shared" si="34"/>
        <v>0</v>
      </c>
      <c r="V56" s="55">
        <f t="shared" si="34"/>
        <v>0</v>
      </c>
    </row>
    <row r="57" spans="2:22" ht="18.600000000000001" thickBot="1" x14ac:dyDescent="0.35">
      <c r="B57" s="32">
        <v>2010</v>
      </c>
      <c r="C57" s="70"/>
      <c r="D57" s="71"/>
      <c r="E57" s="71"/>
      <c r="F57" s="72"/>
      <c r="G57" s="70"/>
      <c r="H57" s="71"/>
      <c r="I57" s="71"/>
      <c r="J57" s="72"/>
      <c r="K57" s="70"/>
      <c r="L57" s="71"/>
      <c r="M57" s="71"/>
      <c r="N57" s="72"/>
      <c r="O57" s="70"/>
      <c r="P57" s="71"/>
      <c r="Q57" s="71"/>
      <c r="R57" s="72"/>
      <c r="S57" s="56">
        <f t="shared" si="34"/>
        <v>0</v>
      </c>
      <c r="T57" s="33">
        <f t="shared" si="34"/>
        <v>0</v>
      </c>
      <c r="U57" s="33">
        <f t="shared" si="34"/>
        <v>0</v>
      </c>
      <c r="V57" s="57">
        <f t="shared" si="34"/>
        <v>0</v>
      </c>
    </row>
    <row r="58" spans="2:22" ht="18.600000000000001" thickBot="1" x14ac:dyDescent="0.35">
      <c r="B58" s="29">
        <v>2020</v>
      </c>
      <c r="C58" s="73"/>
      <c r="D58" s="74"/>
      <c r="E58" s="74"/>
      <c r="F58" s="75"/>
      <c r="G58" s="73"/>
      <c r="H58" s="74"/>
      <c r="I58" s="74"/>
      <c r="J58" s="75"/>
      <c r="K58" s="73"/>
      <c r="L58" s="74"/>
      <c r="M58" s="74"/>
      <c r="N58" s="75"/>
      <c r="O58" s="73"/>
      <c r="P58" s="74"/>
      <c r="Q58" s="74"/>
      <c r="R58" s="75"/>
      <c r="S58" s="58">
        <f t="shared" si="34"/>
        <v>0</v>
      </c>
      <c r="T58" s="30">
        <f t="shared" si="34"/>
        <v>0</v>
      </c>
      <c r="U58" s="30">
        <f t="shared" si="34"/>
        <v>0</v>
      </c>
      <c r="V58" s="59">
        <f t="shared" si="34"/>
        <v>0</v>
      </c>
    </row>
    <row r="59" spans="2:22" ht="18.600000000000001" thickBot="1" x14ac:dyDescent="0.35">
      <c r="B59" s="32">
        <v>2030</v>
      </c>
      <c r="C59" s="70"/>
      <c r="D59" s="71"/>
      <c r="E59" s="71"/>
      <c r="F59" s="72"/>
      <c r="G59" s="70"/>
      <c r="H59" s="71"/>
      <c r="I59" s="71"/>
      <c r="J59" s="72"/>
      <c r="K59" s="70"/>
      <c r="L59" s="71"/>
      <c r="M59" s="71"/>
      <c r="N59" s="72"/>
      <c r="O59" s="70"/>
      <c r="P59" s="71"/>
      <c r="Q59" s="71"/>
      <c r="R59" s="72"/>
      <c r="S59" s="56">
        <f t="shared" si="34"/>
        <v>0</v>
      </c>
      <c r="T59" s="33">
        <f t="shared" si="34"/>
        <v>0</v>
      </c>
      <c r="U59" s="33">
        <f t="shared" si="34"/>
        <v>0</v>
      </c>
      <c r="V59" s="57">
        <f t="shared" si="34"/>
        <v>0</v>
      </c>
    </row>
    <row r="60" spans="2:22" ht="18.600000000000001" thickBot="1" x14ac:dyDescent="0.35">
      <c r="B60" s="29">
        <v>2040</v>
      </c>
      <c r="C60" s="73"/>
      <c r="D60" s="74"/>
      <c r="E60" s="74"/>
      <c r="F60" s="75"/>
      <c r="G60" s="73"/>
      <c r="H60" s="74"/>
      <c r="I60" s="74"/>
      <c r="J60" s="75"/>
      <c r="K60" s="73"/>
      <c r="L60" s="74"/>
      <c r="M60" s="74"/>
      <c r="N60" s="75"/>
      <c r="O60" s="73"/>
      <c r="P60" s="74"/>
      <c r="Q60" s="74"/>
      <c r="R60" s="75"/>
      <c r="S60" s="58">
        <f t="shared" si="34"/>
        <v>0</v>
      </c>
      <c r="T60" s="30">
        <f t="shared" si="34"/>
        <v>0</v>
      </c>
      <c r="U60" s="30">
        <f t="shared" si="34"/>
        <v>0</v>
      </c>
      <c r="V60" s="59">
        <f t="shared" si="34"/>
        <v>0</v>
      </c>
    </row>
    <row r="61" spans="2:22" ht="18.600000000000001" thickBot="1" x14ac:dyDescent="0.35">
      <c r="B61" s="32">
        <v>2050</v>
      </c>
      <c r="C61" s="70"/>
      <c r="D61" s="71"/>
      <c r="E61" s="71"/>
      <c r="F61" s="72"/>
      <c r="G61" s="70"/>
      <c r="H61" s="71"/>
      <c r="I61" s="71"/>
      <c r="J61" s="72"/>
      <c r="K61" s="70"/>
      <c r="L61" s="71"/>
      <c r="M61" s="71"/>
      <c r="N61" s="72"/>
      <c r="O61" s="70"/>
      <c r="P61" s="71"/>
      <c r="Q61" s="71"/>
      <c r="R61" s="72"/>
      <c r="S61" s="56">
        <f t="shared" si="34"/>
        <v>0</v>
      </c>
      <c r="T61" s="33">
        <f t="shared" si="34"/>
        <v>0</v>
      </c>
      <c r="U61" s="33">
        <f t="shared" si="34"/>
        <v>0</v>
      </c>
      <c r="V61" s="57">
        <f t="shared" si="34"/>
        <v>0</v>
      </c>
    </row>
    <row r="62" spans="2:22" ht="18.600000000000001" thickBot="1" x14ac:dyDescent="0.35">
      <c r="B62" s="32">
        <v>2060</v>
      </c>
      <c r="C62" s="73"/>
      <c r="D62" s="74"/>
      <c r="E62" s="74"/>
      <c r="F62" s="75"/>
      <c r="G62" s="73"/>
      <c r="H62" s="74"/>
      <c r="I62" s="74"/>
      <c r="J62" s="75"/>
      <c r="K62" s="73"/>
      <c r="L62" s="74"/>
      <c r="M62" s="74"/>
      <c r="N62" s="75"/>
      <c r="O62" s="73"/>
      <c r="P62" s="74"/>
      <c r="Q62" s="74"/>
      <c r="R62" s="75"/>
      <c r="S62" s="58">
        <f t="shared" si="34"/>
        <v>0</v>
      </c>
      <c r="T62" s="30">
        <f t="shared" si="34"/>
        <v>0</v>
      </c>
      <c r="U62" s="30">
        <f t="shared" si="34"/>
        <v>0</v>
      </c>
      <c r="V62" s="59">
        <f t="shared" si="34"/>
        <v>0</v>
      </c>
    </row>
    <row r="63" spans="2:22" ht="18.600000000000001" thickBot="1" x14ac:dyDescent="0.35">
      <c r="B63" s="29">
        <v>2070</v>
      </c>
      <c r="C63" s="70"/>
      <c r="D63" s="71"/>
      <c r="E63" s="71"/>
      <c r="F63" s="72"/>
      <c r="G63" s="70"/>
      <c r="H63" s="71"/>
      <c r="I63" s="71"/>
      <c r="J63" s="72"/>
      <c r="K63" s="70"/>
      <c r="L63" s="71"/>
      <c r="M63" s="71"/>
      <c r="N63" s="72"/>
      <c r="O63" s="70"/>
      <c r="P63" s="71"/>
      <c r="Q63" s="71"/>
      <c r="R63" s="72"/>
      <c r="S63" s="56">
        <f t="shared" si="34"/>
        <v>0</v>
      </c>
      <c r="T63" s="33">
        <f t="shared" si="34"/>
        <v>0</v>
      </c>
      <c r="U63" s="33">
        <f t="shared" si="34"/>
        <v>0</v>
      </c>
      <c r="V63" s="57">
        <f t="shared" si="34"/>
        <v>0</v>
      </c>
    </row>
    <row r="64" spans="2:22" ht="18.600000000000001" thickBot="1" x14ac:dyDescent="0.35">
      <c r="B64" s="32">
        <v>2080</v>
      </c>
      <c r="C64" s="73"/>
      <c r="D64" s="74"/>
      <c r="E64" s="74"/>
      <c r="F64" s="75"/>
      <c r="G64" s="73"/>
      <c r="H64" s="74"/>
      <c r="I64" s="74"/>
      <c r="J64" s="75"/>
      <c r="K64" s="73"/>
      <c r="L64" s="74"/>
      <c r="M64" s="74"/>
      <c r="N64" s="75"/>
      <c r="O64" s="73"/>
      <c r="P64" s="74"/>
      <c r="Q64" s="74"/>
      <c r="R64" s="75"/>
      <c r="S64" s="58">
        <f t="shared" si="34"/>
        <v>0</v>
      </c>
      <c r="T64" s="30">
        <f t="shared" si="34"/>
        <v>0</v>
      </c>
      <c r="U64" s="30">
        <f t="shared" si="34"/>
        <v>0</v>
      </c>
      <c r="V64" s="59">
        <f t="shared" si="34"/>
        <v>0</v>
      </c>
    </row>
    <row r="65" spans="2:22" ht="18.600000000000001" thickBot="1" x14ac:dyDescent="0.35">
      <c r="B65" s="29">
        <v>2090</v>
      </c>
      <c r="C65" s="70"/>
      <c r="D65" s="71"/>
      <c r="E65" s="71"/>
      <c r="F65" s="72"/>
      <c r="G65" s="70"/>
      <c r="H65" s="71"/>
      <c r="I65" s="71"/>
      <c r="J65" s="72"/>
      <c r="K65" s="70"/>
      <c r="L65" s="71"/>
      <c r="M65" s="71"/>
      <c r="N65" s="72"/>
      <c r="O65" s="70"/>
      <c r="P65" s="71"/>
      <c r="Q65" s="71"/>
      <c r="R65" s="72"/>
      <c r="S65" s="56">
        <f t="shared" si="34"/>
        <v>0</v>
      </c>
      <c r="T65" s="33">
        <f t="shared" si="34"/>
        <v>0</v>
      </c>
      <c r="U65" s="33">
        <f t="shared" si="34"/>
        <v>0</v>
      </c>
      <c r="V65" s="57">
        <f t="shared" si="34"/>
        <v>0</v>
      </c>
    </row>
    <row r="66" spans="2:22" ht="18.600000000000001" thickBot="1" x14ac:dyDescent="0.35">
      <c r="B66" s="65">
        <v>2100</v>
      </c>
      <c r="C66" s="76"/>
      <c r="D66" s="77"/>
      <c r="E66" s="77"/>
      <c r="F66" s="78"/>
      <c r="G66" s="76"/>
      <c r="H66" s="77"/>
      <c r="I66" s="77"/>
      <c r="J66" s="78"/>
      <c r="K66" s="76"/>
      <c r="L66" s="77"/>
      <c r="M66" s="77"/>
      <c r="N66" s="78"/>
      <c r="O66" s="76"/>
      <c r="P66" s="77"/>
      <c r="Q66" s="77"/>
      <c r="R66" s="78"/>
      <c r="S66" s="60">
        <f t="shared" si="34"/>
        <v>0</v>
      </c>
      <c r="T66" s="35">
        <f t="shared" si="34"/>
        <v>0</v>
      </c>
      <c r="U66" s="35">
        <f t="shared" si="34"/>
        <v>0</v>
      </c>
      <c r="V66" s="61">
        <f t="shared" si="34"/>
        <v>0</v>
      </c>
    </row>
    <row r="67" spans="2:22" ht="19.2" thickTop="1" thickBot="1" x14ac:dyDescent="0.35">
      <c r="B67" s="66" t="s">
        <v>4</v>
      </c>
      <c r="C67" s="79"/>
      <c r="D67" s="80"/>
      <c r="E67" s="80"/>
      <c r="F67" s="81"/>
      <c r="G67" s="79"/>
      <c r="H67" s="80"/>
      <c r="I67" s="80"/>
      <c r="J67" s="81"/>
      <c r="K67" s="79"/>
      <c r="L67" s="80"/>
      <c r="M67" s="80"/>
      <c r="N67" s="81"/>
      <c r="O67" s="79"/>
      <c r="P67" s="80"/>
      <c r="Q67" s="80"/>
      <c r="R67" s="81"/>
      <c r="S67" s="62"/>
      <c r="T67" s="63"/>
      <c r="U67" s="63"/>
      <c r="V67" s="64"/>
    </row>
  </sheetData>
  <mergeCells count="18">
    <mergeCell ref="C4:F4"/>
    <mergeCell ref="G4:J4"/>
    <mergeCell ref="K4:N4"/>
    <mergeCell ref="O4:R4"/>
    <mergeCell ref="B21:B22"/>
    <mergeCell ref="C21:F22"/>
    <mergeCell ref="G21:J22"/>
    <mergeCell ref="K21:N22"/>
    <mergeCell ref="O21:R21"/>
    <mergeCell ref="O22:R22"/>
    <mergeCell ref="C38:F38"/>
    <mergeCell ref="G38:J38"/>
    <mergeCell ref="K38:N38"/>
    <mergeCell ref="O38:R38"/>
    <mergeCell ref="C54:F54"/>
    <mergeCell ref="G54:J54"/>
    <mergeCell ref="K54:N54"/>
    <mergeCell ref="O54:R54"/>
  </mergeCells>
  <pageMargins left="0.7" right="0.7" top="0.75" bottom="0.75" header="0.3" footer="0.3"/>
  <ignoredErrors>
    <ignoredError sqref="T6:T14 E24:E32 T24:T32 T15:T23 T33:T67" formula="1"/>
  </ignoredErrors>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38DF-7AFC-4714-9414-07219AAB74F6}">
  <dimension ref="B1:AZ90"/>
  <sheetViews>
    <sheetView zoomScale="60" zoomScaleNormal="60" workbookViewId="0">
      <selection activeCell="D17" sqref="D17"/>
    </sheetView>
  </sheetViews>
  <sheetFormatPr defaultRowHeight="14.4" x14ac:dyDescent="0.3"/>
  <cols>
    <col min="2" max="2" width="10.44140625" customWidth="1"/>
    <col min="3" max="3" width="13.44140625" customWidth="1"/>
    <col min="4" max="4" width="10.5546875" customWidth="1"/>
    <col min="5" max="5" width="13.88671875" style="106" customWidth="1"/>
    <col min="6" max="6" width="12" customWidth="1"/>
    <col min="30" max="30" width="11.88671875" customWidth="1"/>
    <col min="31" max="31" width="13.109375" customWidth="1"/>
  </cols>
  <sheetData>
    <row r="1" spans="2:26" ht="41.1" customHeight="1" x14ac:dyDescent="0.45">
      <c r="B1" s="171" t="s">
        <v>117</v>
      </c>
    </row>
    <row r="2" spans="2:26" ht="41.1" customHeight="1" x14ac:dyDescent="0.45">
      <c r="B2" s="171" t="s">
        <v>107</v>
      </c>
    </row>
    <row r="3" spans="2:26" ht="41.1" customHeight="1" x14ac:dyDescent="0.45">
      <c r="B3" s="171" t="s">
        <v>119</v>
      </c>
    </row>
    <row r="4" spans="2:26" ht="15" thickBot="1" x14ac:dyDescent="0.35"/>
    <row r="5" spans="2:26" x14ac:dyDescent="0.3">
      <c r="B5" s="191" t="s">
        <v>113</v>
      </c>
      <c r="C5" s="125"/>
      <c r="E5" s="159" t="s">
        <v>70</v>
      </c>
      <c r="F5" s="160"/>
      <c r="G5" s="160"/>
      <c r="H5" s="160"/>
      <c r="I5" s="160"/>
      <c r="J5" s="160"/>
      <c r="K5" s="160"/>
      <c r="L5" s="160"/>
      <c r="M5" s="160"/>
      <c r="N5" s="160"/>
      <c r="O5" s="160"/>
      <c r="P5" s="160"/>
      <c r="Q5" s="160"/>
      <c r="R5" s="160"/>
      <c r="S5" s="160"/>
      <c r="T5" s="160"/>
      <c r="U5" s="160"/>
      <c r="V5" s="160"/>
      <c r="W5" s="160"/>
      <c r="X5" s="160"/>
      <c r="Y5" s="160"/>
      <c r="Z5" s="161"/>
    </row>
    <row r="6" spans="2:26" x14ac:dyDescent="0.3">
      <c r="B6" s="192" t="s">
        <v>114</v>
      </c>
      <c r="C6" s="127">
        <f>shift_orig</f>
        <v>10</v>
      </c>
      <c r="E6" s="162" t="s">
        <v>69</v>
      </c>
      <c r="F6" s="106">
        <v>0</v>
      </c>
      <c r="G6" s="106">
        <v>10</v>
      </c>
      <c r="H6" s="106">
        <v>20</v>
      </c>
      <c r="I6" s="106">
        <v>30</v>
      </c>
      <c r="J6" s="106">
        <v>40</v>
      </c>
      <c r="K6" s="106">
        <v>50</v>
      </c>
      <c r="L6" s="106">
        <v>60</v>
      </c>
      <c r="M6" s="106">
        <v>70</v>
      </c>
      <c r="N6" s="106">
        <v>80</v>
      </c>
      <c r="O6" s="106">
        <v>90</v>
      </c>
      <c r="P6" s="106">
        <v>100</v>
      </c>
      <c r="Q6" s="106">
        <v>110</v>
      </c>
      <c r="R6" s="106">
        <v>120</v>
      </c>
      <c r="S6" s="106">
        <v>130</v>
      </c>
      <c r="T6" s="106">
        <v>140</v>
      </c>
      <c r="U6" s="106">
        <v>150</v>
      </c>
      <c r="V6" s="106">
        <v>160</v>
      </c>
      <c r="W6" s="106">
        <v>170</v>
      </c>
      <c r="X6" s="106">
        <v>180</v>
      </c>
      <c r="Y6" s="106">
        <v>190</v>
      </c>
      <c r="Z6" s="163">
        <v>200</v>
      </c>
    </row>
    <row r="7" spans="2:26" x14ac:dyDescent="0.3">
      <c r="B7" s="192" t="s">
        <v>115</v>
      </c>
      <c r="C7" s="127">
        <f>shape_orig</f>
        <v>2</v>
      </c>
      <c r="E7" s="162" t="s">
        <v>111</v>
      </c>
      <c r="F7" s="194">
        <f t="shared" ref="F7:Z7" si="0">IF(F$6&lt;shift_orig,0,_xlfn.WEIBULL.DIST(F$6-shift_orig,shape_orig,scale_orig,TRUE))</f>
        <v>0</v>
      </c>
      <c r="G7" s="194">
        <f t="shared" si="0"/>
        <v>0</v>
      </c>
      <c r="H7" s="194">
        <f t="shared" si="0"/>
        <v>0.1051606831856302</v>
      </c>
      <c r="I7" s="194">
        <f t="shared" si="0"/>
        <v>0.35881961157004544</v>
      </c>
      <c r="J7" s="194">
        <f t="shared" si="0"/>
        <v>0.63212055882855767</v>
      </c>
      <c r="K7" s="194">
        <f t="shared" si="0"/>
        <v>0.83098668459393388</v>
      </c>
      <c r="L7" s="194">
        <f t="shared" si="0"/>
        <v>0.93782347597788374</v>
      </c>
      <c r="M7" s="194">
        <f t="shared" si="0"/>
        <v>0.98168436111126578</v>
      </c>
      <c r="N7" s="194">
        <f t="shared" si="0"/>
        <v>0.9956797605259059</v>
      </c>
      <c r="O7" s="194">
        <f t="shared" si="0"/>
        <v>0.9991840121649278</v>
      </c>
      <c r="P7" s="194">
        <f t="shared" si="0"/>
        <v>0.99987659019591335</v>
      </c>
      <c r="Q7" s="194">
        <f t="shared" si="0"/>
        <v>0.99998505466147525</v>
      </c>
      <c r="R7" s="194">
        <f t="shared" si="0"/>
        <v>0.99999855072111288</v>
      </c>
      <c r="S7" s="194">
        <f t="shared" si="0"/>
        <v>0.99999988746482527</v>
      </c>
      <c r="T7" s="194">
        <f t="shared" si="0"/>
        <v>0.99999999300295406</v>
      </c>
      <c r="U7" s="194">
        <f t="shared" si="0"/>
        <v>0.99999999965163755</v>
      </c>
      <c r="V7" s="194">
        <f t="shared" si="0"/>
        <v>0.99999999998611211</v>
      </c>
      <c r="W7" s="194">
        <f t="shared" si="0"/>
        <v>0.99999999999955669</v>
      </c>
      <c r="X7" s="194">
        <f t="shared" si="0"/>
        <v>0.99999999999998868</v>
      </c>
      <c r="Y7" s="194">
        <f t="shared" si="0"/>
        <v>0.99999999999999978</v>
      </c>
      <c r="Z7" s="194">
        <f t="shared" si="0"/>
        <v>1</v>
      </c>
    </row>
    <row r="8" spans="2:26" ht="15" thickBot="1" x14ac:dyDescent="0.35">
      <c r="B8" s="193" t="s">
        <v>116</v>
      </c>
      <c r="C8" s="136">
        <f>scale_orig</f>
        <v>30</v>
      </c>
      <c r="E8" s="178" t="s">
        <v>112</v>
      </c>
      <c r="F8" s="165">
        <v>0</v>
      </c>
      <c r="G8" s="165">
        <f>G7-F7</f>
        <v>0</v>
      </c>
      <c r="H8" s="165">
        <f>H7-G7</f>
        <v>0.1051606831856302</v>
      </c>
      <c r="I8" s="165">
        <f t="shared" ref="I8:Z8" si="1">I7-H7</f>
        <v>0.25365892838441523</v>
      </c>
      <c r="J8" s="165">
        <f t="shared" si="1"/>
        <v>0.27330094725851223</v>
      </c>
      <c r="K8" s="165">
        <f t="shared" si="1"/>
        <v>0.19886612576537621</v>
      </c>
      <c r="L8" s="165">
        <f t="shared" si="1"/>
        <v>0.10683679138394986</v>
      </c>
      <c r="M8" s="165">
        <f t="shared" si="1"/>
        <v>4.3860885133382044E-2</v>
      </c>
      <c r="N8" s="165">
        <f t="shared" si="1"/>
        <v>1.3995399414640119E-2</v>
      </c>
      <c r="O8" s="165">
        <f t="shared" si="1"/>
        <v>3.5042516390219047E-3</v>
      </c>
      <c r="P8" s="165">
        <f t="shared" si="1"/>
        <v>6.9257803098554671E-4</v>
      </c>
      <c r="Q8" s="165">
        <f t="shared" si="1"/>
        <v>1.0846446556189715E-4</v>
      </c>
      <c r="R8" s="165">
        <f t="shared" si="1"/>
        <v>1.3496059637629898E-5</v>
      </c>
      <c r="S8" s="165">
        <f t="shared" si="1"/>
        <v>1.3367437123879E-6</v>
      </c>
      <c r="T8" s="165">
        <f t="shared" si="1"/>
        <v>1.0553812879177116E-7</v>
      </c>
      <c r="U8" s="165">
        <f t="shared" si="1"/>
        <v>6.6486834926493543E-9</v>
      </c>
      <c r="V8" s="165">
        <f t="shared" si="1"/>
        <v>3.344745591604692E-10</v>
      </c>
      <c r="W8" s="165">
        <f t="shared" si="1"/>
        <v>1.3444578783605721E-11</v>
      </c>
      <c r="X8" s="165">
        <f t="shared" si="1"/>
        <v>4.3198777888164841E-13</v>
      </c>
      <c r="Y8" s="165">
        <f t="shared" si="1"/>
        <v>1.1102230246251565E-14</v>
      </c>
      <c r="Z8" s="165">
        <f t="shared" si="1"/>
        <v>0</v>
      </c>
    </row>
    <row r="10" spans="2:26" x14ac:dyDescent="0.3">
      <c r="E10" s="159" t="s">
        <v>72</v>
      </c>
      <c r="F10" s="160"/>
      <c r="G10" s="168">
        <v>30</v>
      </c>
      <c r="H10" s="160" t="s">
        <v>83</v>
      </c>
      <c r="I10" s="160"/>
      <c r="J10" s="160"/>
      <c r="K10" s="160"/>
      <c r="L10" s="160"/>
      <c r="M10" s="160"/>
      <c r="N10" s="160"/>
      <c r="O10" s="160"/>
      <c r="P10" s="160"/>
      <c r="Q10" s="160"/>
      <c r="R10" s="160"/>
      <c r="S10" s="160"/>
      <c r="T10" s="160"/>
      <c r="U10" s="160"/>
      <c r="V10" s="160"/>
      <c r="W10" s="160"/>
      <c r="X10" s="160"/>
      <c r="Y10" s="160"/>
      <c r="Z10" s="161"/>
    </row>
    <row r="11" spans="2:26" x14ac:dyDescent="0.3">
      <c r="E11" s="162" t="s">
        <v>77</v>
      </c>
      <c r="Z11" s="167"/>
    </row>
    <row r="12" spans="2:26" x14ac:dyDescent="0.3">
      <c r="E12" s="162" t="s">
        <v>69</v>
      </c>
      <c r="F12" s="106">
        <v>0</v>
      </c>
      <c r="G12" s="106">
        <v>10</v>
      </c>
      <c r="H12" s="106">
        <v>20</v>
      </c>
      <c r="I12" s="106">
        <v>30</v>
      </c>
      <c r="J12" s="106">
        <v>40</v>
      </c>
      <c r="K12" s="106">
        <v>50</v>
      </c>
      <c r="L12" s="106">
        <v>60</v>
      </c>
      <c r="M12" s="106">
        <v>70</v>
      </c>
      <c r="N12" s="106">
        <v>80</v>
      </c>
      <c r="O12" s="106">
        <v>90</v>
      </c>
      <c r="P12" s="106">
        <v>100</v>
      </c>
      <c r="Q12" s="106">
        <v>110</v>
      </c>
      <c r="R12" s="106">
        <v>120</v>
      </c>
      <c r="S12" s="106">
        <v>130</v>
      </c>
      <c r="T12" s="106">
        <v>140</v>
      </c>
      <c r="U12" s="106">
        <v>150</v>
      </c>
      <c r="V12" s="106">
        <v>160</v>
      </c>
      <c r="W12" s="106">
        <v>170</v>
      </c>
      <c r="X12" s="106">
        <v>180</v>
      </c>
      <c r="Y12" s="106">
        <v>190</v>
      </c>
      <c r="Z12" s="163">
        <v>200</v>
      </c>
    </row>
    <row r="13" spans="2:26" x14ac:dyDescent="0.3">
      <c r="E13" s="178" t="s">
        <v>112</v>
      </c>
      <c r="F13" s="165">
        <f>IFERROR(INDEX($F$8:$O$8,MATCH(F$12-$G$10,$F$6:$O$6,0)),0)</f>
        <v>0</v>
      </c>
      <c r="G13" s="165">
        <f t="shared" ref="G13:Z13" si="2">IFERROR(INDEX($F$8:$O$8,MATCH(G$12-$G$10,$F$6:$O$6,0)),0)</f>
        <v>0</v>
      </c>
      <c r="H13" s="165">
        <f t="shared" si="2"/>
        <v>0</v>
      </c>
      <c r="I13" s="165">
        <f t="shared" si="2"/>
        <v>0</v>
      </c>
      <c r="J13" s="165">
        <f t="shared" si="2"/>
        <v>0</v>
      </c>
      <c r="K13" s="165">
        <f t="shared" si="2"/>
        <v>0.1051606831856302</v>
      </c>
      <c r="L13" s="165">
        <f t="shared" si="2"/>
        <v>0.25365892838441523</v>
      </c>
      <c r="M13" s="165">
        <f t="shared" si="2"/>
        <v>0.27330094725851223</v>
      </c>
      <c r="N13" s="165">
        <f t="shared" si="2"/>
        <v>0.19886612576537621</v>
      </c>
      <c r="O13" s="165">
        <f t="shared" si="2"/>
        <v>0.10683679138394986</v>
      </c>
      <c r="P13" s="165">
        <f t="shared" si="2"/>
        <v>4.3860885133382044E-2</v>
      </c>
      <c r="Q13" s="165">
        <f t="shared" si="2"/>
        <v>1.3995399414640119E-2</v>
      </c>
      <c r="R13" s="165">
        <f t="shared" si="2"/>
        <v>3.5042516390219047E-3</v>
      </c>
      <c r="S13" s="165">
        <f t="shared" si="2"/>
        <v>0</v>
      </c>
      <c r="T13" s="165">
        <f t="shared" si="2"/>
        <v>0</v>
      </c>
      <c r="U13" s="165">
        <f t="shared" si="2"/>
        <v>0</v>
      </c>
      <c r="V13" s="165">
        <f t="shared" si="2"/>
        <v>0</v>
      </c>
      <c r="W13" s="165">
        <f t="shared" si="2"/>
        <v>0</v>
      </c>
      <c r="X13" s="165">
        <f t="shared" si="2"/>
        <v>0</v>
      </c>
      <c r="Y13" s="165">
        <f t="shared" si="2"/>
        <v>0</v>
      </c>
      <c r="Z13" s="166">
        <f t="shared" si="2"/>
        <v>0</v>
      </c>
    </row>
    <row r="15" spans="2:26" x14ac:dyDescent="0.3">
      <c r="E15" s="106" t="s">
        <v>91</v>
      </c>
      <c r="G15" s="176">
        <v>100</v>
      </c>
      <c r="I15" s="106" t="s">
        <v>104</v>
      </c>
      <c r="L15" s="184">
        <v>0.05</v>
      </c>
    </row>
    <row r="34" spans="2:52" x14ac:dyDescent="0.3">
      <c r="E34" s="170"/>
      <c r="F34" s="105"/>
      <c r="G34" s="106" t="s">
        <v>76</v>
      </c>
      <c r="H34" s="173"/>
      <c r="I34" s="173"/>
      <c r="J34" s="173"/>
      <c r="K34" s="173"/>
      <c r="L34" s="173"/>
      <c r="M34" s="173"/>
      <c r="N34" s="173"/>
      <c r="O34" s="173"/>
      <c r="P34" s="173"/>
      <c r="Q34" s="173"/>
      <c r="R34" s="173"/>
      <c r="S34" s="173"/>
      <c r="T34" s="173"/>
      <c r="U34" s="173"/>
      <c r="V34" s="173"/>
      <c r="W34" s="173"/>
      <c r="X34" s="173"/>
      <c r="Y34" s="173"/>
      <c r="Z34" s="173"/>
      <c r="AA34" s="173"/>
      <c r="AF34" s="106" t="s">
        <v>80</v>
      </c>
    </row>
    <row r="35" spans="2:52" x14ac:dyDescent="0.3">
      <c r="B35" s="234" t="s">
        <v>8</v>
      </c>
      <c r="C35" s="234"/>
      <c r="D35" s="234" t="s">
        <v>86</v>
      </c>
      <c r="E35" s="235"/>
      <c r="G35" s="106" t="s">
        <v>85</v>
      </c>
      <c r="AF35" s="106" t="s">
        <v>82</v>
      </c>
    </row>
    <row r="36" spans="2:52" x14ac:dyDescent="0.3">
      <c r="B36" s="106" t="s">
        <v>4</v>
      </c>
      <c r="C36" s="106" t="s">
        <v>92</v>
      </c>
      <c r="D36" s="106" t="s">
        <v>105</v>
      </c>
      <c r="E36" s="163" t="s">
        <v>87</v>
      </c>
      <c r="F36" s="106" t="s">
        <v>73</v>
      </c>
      <c r="G36" s="106">
        <v>2080</v>
      </c>
      <c r="H36" s="106">
        <v>2090</v>
      </c>
      <c r="I36" s="106">
        <v>2100</v>
      </c>
      <c r="J36" s="106">
        <v>2110</v>
      </c>
      <c r="K36" s="106">
        <v>2120</v>
      </c>
      <c r="L36" s="106">
        <v>2130</v>
      </c>
      <c r="M36" s="106">
        <v>2140</v>
      </c>
      <c r="N36" s="106">
        <v>2150</v>
      </c>
      <c r="O36" s="106">
        <v>2160</v>
      </c>
      <c r="P36" s="106">
        <v>2170</v>
      </c>
      <c r="Q36" s="106">
        <v>2180</v>
      </c>
      <c r="R36" s="106">
        <v>2190</v>
      </c>
      <c r="S36" s="106">
        <v>2200</v>
      </c>
      <c r="T36" s="106">
        <v>2210</v>
      </c>
      <c r="U36" s="106">
        <v>2220</v>
      </c>
      <c r="V36" s="106">
        <v>2230</v>
      </c>
      <c r="W36" s="106">
        <v>2240</v>
      </c>
      <c r="X36" s="106">
        <v>2250</v>
      </c>
      <c r="Y36" s="106">
        <v>2260</v>
      </c>
      <c r="Z36" s="106">
        <v>2270</v>
      </c>
      <c r="AA36" s="106">
        <v>2280</v>
      </c>
      <c r="AD36" s="163" t="s">
        <v>74</v>
      </c>
      <c r="AE36" s="106" t="s">
        <v>73</v>
      </c>
      <c r="AF36" s="106">
        <v>2080</v>
      </c>
      <c r="AG36" s="106">
        <v>2090</v>
      </c>
      <c r="AH36" s="106">
        <v>2100</v>
      </c>
      <c r="AI36" s="106">
        <v>2110</v>
      </c>
      <c r="AJ36" s="106">
        <v>2120</v>
      </c>
      <c r="AK36" s="106">
        <v>2130</v>
      </c>
      <c r="AL36" s="106">
        <v>2140</v>
      </c>
      <c r="AM36" s="106">
        <v>2150</v>
      </c>
      <c r="AN36" s="106">
        <v>2160</v>
      </c>
      <c r="AO36" s="106">
        <v>2170</v>
      </c>
      <c r="AP36" s="106">
        <v>2180</v>
      </c>
      <c r="AQ36" s="106">
        <v>2190</v>
      </c>
      <c r="AR36" s="106">
        <v>2200</v>
      </c>
      <c r="AS36" s="106">
        <v>2210</v>
      </c>
      <c r="AT36" s="106">
        <v>2220</v>
      </c>
      <c r="AU36" s="106">
        <v>2230</v>
      </c>
      <c r="AV36" s="106">
        <v>2240</v>
      </c>
      <c r="AW36" s="106">
        <v>2250</v>
      </c>
      <c r="AX36" s="106">
        <v>2260</v>
      </c>
      <c r="AY36" s="106">
        <v>2270</v>
      </c>
      <c r="AZ36" s="106">
        <v>2280</v>
      </c>
    </row>
    <row r="37" spans="2:52" x14ac:dyDescent="0.3">
      <c r="B37" s="147">
        <f>G15</f>
        <v>100</v>
      </c>
      <c r="C37">
        <v>0</v>
      </c>
      <c r="D37" s="177">
        <f>E37</f>
        <v>100</v>
      </c>
      <c r="E37" s="170">
        <f>$G$15</f>
        <v>100</v>
      </c>
      <c r="F37" s="157">
        <v>2080</v>
      </c>
      <c r="G37" s="149">
        <f t="shared" ref="G37:P46" si="3">IF(G$36&gt;=$F37,$E37*INDEX($F$8:$Z$8,MATCH(G$67-$F37,$F$6:$Z$6,0)),0)</f>
        <v>0</v>
      </c>
      <c r="H37" s="150">
        <f t="shared" si="3"/>
        <v>0</v>
      </c>
      <c r="I37" s="150">
        <f t="shared" si="3"/>
        <v>10.51606831856302</v>
      </c>
      <c r="J37" s="150">
        <f t="shared" si="3"/>
        <v>25.365892838441521</v>
      </c>
      <c r="K37" s="150">
        <f t="shared" si="3"/>
        <v>27.330094725851222</v>
      </c>
      <c r="L37" s="150">
        <f t="shared" si="3"/>
        <v>19.886612576537622</v>
      </c>
      <c r="M37" s="150">
        <f t="shared" si="3"/>
        <v>10.683679138394986</v>
      </c>
      <c r="N37" s="150">
        <f t="shared" si="3"/>
        <v>4.3860885133382048</v>
      </c>
      <c r="O37" s="150">
        <f t="shared" si="3"/>
        <v>1.3995399414640119</v>
      </c>
      <c r="P37" s="150">
        <f t="shared" si="3"/>
        <v>0.35042516390219047</v>
      </c>
      <c r="Q37" s="150">
        <f t="shared" ref="Q37:AA37" si="4">IF(Q$36&gt;=$F37,$E37*INDEX($F$8:$Z$8,MATCH(Q$67-$F37,$F$6:$Z$6,0)),0)</f>
        <v>6.9257803098554671E-2</v>
      </c>
      <c r="R37" s="150">
        <f t="shared" si="4"/>
        <v>1.0846446556189715E-2</v>
      </c>
      <c r="S37" s="150">
        <f t="shared" si="4"/>
        <v>1.3496059637629898E-3</v>
      </c>
      <c r="T37" s="150">
        <f t="shared" si="4"/>
        <v>1.3367437123879E-4</v>
      </c>
      <c r="U37" s="150">
        <f t="shared" si="4"/>
        <v>1.0553812879177116E-5</v>
      </c>
      <c r="V37" s="150">
        <f t="shared" si="4"/>
        <v>6.6486834926493543E-7</v>
      </c>
      <c r="W37" s="150">
        <f t="shared" si="4"/>
        <v>3.344745591604692E-8</v>
      </c>
      <c r="X37" s="150">
        <f t="shared" si="4"/>
        <v>1.3444578783605721E-9</v>
      </c>
      <c r="Y37" s="150">
        <f t="shared" si="4"/>
        <v>4.3198777888164841E-11</v>
      </c>
      <c r="Z37" s="150">
        <f t="shared" si="4"/>
        <v>1.1102230246251565E-12</v>
      </c>
      <c r="AA37" s="151">
        <f t="shared" si="4"/>
        <v>0</v>
      </c>
      <c r="AD37" s="170">
        <f t="array" ref="AD37:AD57">E37:E57</f>
        <v>100</v>
      </c>
      <c r="AE37" s="157">
        <v>2080</v>
      </c>
      <c r="AF37" s="149">
        <f>IF(G$36&gt;=$F37,$AD37-SUM($G37:G37),0)</f>
        <v>100</v>
      </c>
      <c r="AG37" s="150">
        <f>IF(H$36&gt;=$F37,$AD37-SUM($G37:H37),0)</f>
        <v>100</v>
      </c>
      <c r="AH37" s="150">
        <f>IF(I$36&gt;=$F37,$AD37-SUM($G37:I37),0)</f>
        <v>89.483931681436985</v>
      </c>
      <c r="AI37" s="150">
        <f>IF(J$36&gt;=$F37,$AD37-SUM($G37:J37),0)</f>
        <v>64.11803884299546</v>
      </c>
      <c r="AJ37" s="150">
        <f>IF(K$36&gt;=$F37,$AD37-SUM($G37:K37),0)</f>
        <v>36.787944117144235</v>
      </c>
      <c r="AK37" s="150">
        <f>IF(L$36&gt;=$F37,$AD37-SUM($G37:L37),0)</f>
        <v>16.901331540606606</v>
      </c>
      <c r="AL37" s="150">
        <f>IF(M$36&gt;=$F37,$AD37-SUM($G37:M37),0)</f>
        <v>6.2176524022116268</v>
      </c>
      <c r="AM37" s="150">
        <f>IF(N$36&gt;=$F37,$AD37-SUM($G37:N37),0)</f>
        <v>1.8315638888734185</v>
      </c>
      <c r="AN37" s="150">
        <f>IF(O$36&gt;=$F37,$AD37-SUM($G37:O37),0)</f>
        <v>0.4320239474094052</v>
      </c>
      <c r="AO37" s="150">
        <f>IF(P$36&gt;=$F37,$AD37-SUM($G37:P37),0)</f>
        <v>8.1598783507217831E-2</v>
      </c>
      <c r="AP37" s="150">
        <f>IF(Q$36&gt;=$F37,$AD37-SUM($G37:Q37),0)</f>
        <v>1.2340980408666269E-2</v>
      </c>
      <c r="AQ37" s="150">
        <f>IF(R$36&gt;=$F37,$AD37-SUM($G37:R37),0)</f>
        <v>1.4945338524796625E-3</v>
      </c>
      <c r="AR37" s="150">
        <f>IF(S$36&gt;=$F37,$AD37-SUM($G37:S37),0)</f>
        <v>1.4492788871223183E-4</v>
      </c>
      <c r="AS37" s="150">
        <f>IF(T$36&gt;=$F37,$AD37-SUM($G37:T37),0)</f>
        <v>1.1253517470777297E-5</v>
      </c>
      <c r="AT37" s="150">
        <f>IF(U$36&gt;=$F37,$AD37-SUM($G37:U37),0)</f>
        <v>6.9970458582702122E-7</v>
      </c>
      <c r="AU37" s="150">
        <f>IF(V$36&gt;=$F37,$AD37-SUM($G37:V37),0)</f>
        <v>3.4836233453461318E-8</v>
      </c>
      <c r="AV37" s="150">
        <f>IF(W$36&gt;=$F37,$AD37-SUM($G37:W37),0)</f>
        <v>1.3887841987525462E-9</v>
      </c>
      <c r="AW37" s="150">
        <f>IF(X$36&gt;=$F37,$AD37-SUM($G37:X37),0)</f>
        <v>4.432365585671505E-11</v>
      </c>
      <c r="AX37" s="150">
        <f>IF(Y$36&gt;=$F37,$AD37-SUM($G37:Y37),0)</f>
        <v>1.1226575225009583E-12</v>
      </c>
      <c r="AY37" s="150">
        <f>IF(Z$36&gt;=$F37,$AD37-SUM($G37:Z37),0)</f>
        <v>1.4210854715202004E-14</v>
      </c>
      <c r="AZ37" s="151">
        <f>IF(AA$36&gt;=$F37,$AD37-SUM($G37:AA37),0)</f>
        <v>1.4210854715202004E-14</v>
      </c>
    </row>
    <row r="38" spans="2:52" x14ac:dyDescent="0.3">
      <c r="B38" s="147">
        <f>B37*(1+$L$15)</f>
        <v>105</v>
      </c>
      <c r="C38" s="175">
        <f>B38-B37</f>
        <v>5</v>
      </c>
      <c r="D38" s="177">
        <f t="shared" ref="D38:D57" ca="1" si="5">D37+E38</f>
        <v>105</v>
      </c>
      <c r="E38" s="170" cm="1">
        <f t="array" aca="1" ref="E38" ca="1">INDEX($G$58:$AA$58, 0, MATCH(F38,$G$36:$AA$36,0))+C38</f>
        <v>5</v>
      </c>
      <c r="F38" s="157">
        <v>2090</v>
      </c>
      <c r="G38" s="152">
        <f t="shared" si="3"/>
        <v>0</v>
      </c>
      <c r="H38" s="153">
        <f t="shared" ref="H38:AA38" ca="1" si="6">IF(H$36&gt;=$F38,$E38*INDEX($F$8:$Z$8,MATCH(H$67-$F38,$F$6:$Z$6,0)),0)</f>
        <v>0</v>
      </c>
      <c r="I38" s="153">
        <f t="shared" ca="1" si="6"/>
        <v>0</v>
      </c>
      <c r="J38" s="153">
        <f t="shared" ca="1" si="6"/>
        <v>0.57523516674976338</v>
      </c>
      <c r="K38" s="153">
        <f t="shared" ca="1" si="6"/>
        <v>1.2892450587595297</v>
      </c>
      <c r="L38" s="153">
        <f t="shared" ca="1" si="6"/>
        <v>1.3561690877879058</v>
      </c>
      <c r="M38" s="153">
        <f t="shared" ca="1" si="6"/>
        <v>0.97051663375876185</v>
      </c>
      <c r="N38" s="153">
        <f t="shared" ca="1" si="6"/>
        <v>0.51403439457981104</v>
      </c>
      <c r="O38" s="153">
        <f t="shared" ca="1" si="6"/>
        <v>0.20828194751285833</v>
      </c>
      <c r="P38" s="153">
        <f t="shared" ca="1" si="6"/>
        <v>6.5631028359235899E-2</v>
      </c>
      <c r="Q38" s="153">
        <f t="shared" ca="1" si="6"/>
        <v>0.02</v>
      </c>
      <c r="R38" s="153">
        <f t="shared" ca="1" si="6"/>
        <v>0</v>
      </c>
      <c r="S38" s="153">
        <f t="shared" ca="1" si="6"/>
        <v>0</v>
      </c>
      <c r="T38" s="153">
        <f t="shared" ca="1" si="6"/>
        <v>0</v>
      </c>
      <c r="U38" s="153">
        <f t="shared" ca="1" si="6"/>
        <v>0</v>
      </c>
      <c r="V38" s="153">
        <f t="shared" ca="1" si="6"/>
        <v>0</v>
      </c>
      <c r="W38" s="153">
        <f t="shared" ca="1" si="6"/>
        <v>0</v>
      </c>
      <c r="X38" s="153">
        <f t="shared" ca="1" si="6"/>
        <v>0</v>
      </c>
      <c r="Y38" s="153">
        <f t="shared" ca="1" si="6"/>
        <v>0</v>
      </c>
      <c r="Z38" s="153">
        <f t="shared" ca="1" si="6"/>
        <v>0</v>
      </c>
      <c r="AA38" s="154">
        <f t="shared" ca="1" si="6"/>
        <v>0</v>
      </c>
      <c r="AD38" s="170">
        <f ca="1"/>
        <v>5</v>
      </c>
      <c r="AE38" s="157">
        <v>2090</v>
      </c>
      <c r="AF38" s="152">
        <f>IF(G$36&gt;=$F38,$AD38-SUM($G38:G38),0)</f>
        <v>0</v>
      </c>
      <c r="AG38" s="153">
        <f ca="1">IF(H$36&gt;=$F38,$AD38-SUM($G38:H38),0)</f>
        <v>5</v>
      </c>
      <c r="AH38" s="153">
        <f ca="1">IF(I$36&gt;=$F38,$AD38-SUM($G38:I38),0)</f>
        <v>5</v>
      </c>
      <c r="AI38" s="153">
        <f ca="1">IF(J$36&gt;=$F38,$AD38-SUM($G38:J38),0)</f>
        <v>4.4247648332502365</v>
      </c>
      <c r="AJ38" s="153">
        <f ca="1">IF(K$36&gt;=$F38,$AD38-SUM($G38:K38),0)</f>
        <v>3.1355197744907071</v>
      </c>
      <c r="AK38" s="153">
        <f ca="1">IF(L$36&gt;=$F38,$AD38-SUM($G38:L38),0)</f>
        <v>1.7793506867028013</v>
      </c>
      <c r="AL38" s="153">
        <f ca="1">IF(M$36&gt;=$F38,$AD38-SUM($G38:M38),0)</f>
        <v>0.80883405294403943</v>
      </c>
      <c r="AM38" s="153">
        <f ca="1">IF(N$36&gt;=$F38,$AD38-SUM($G38:N38),0)</f>
        <v>0.29479965836422828</v>
      </c>
      <c r="AN38" s="153">
        <f ca="1">IF(O$36&gt;=$F38,$AD38-SUM($G38:O38),0)</f>
        <v>8.65177108513695E-2</v>
      </c>
      <c r="AO38" s="153">
        <f ca="1">IF(P$36&gt;=$F38,$AD38-SUM($G38:P38),0)</f>
        <v>2.0886682492133879E-2</v>
      </c>
      <c r="AP38" s="153">
        <f ca="1">IF(Q$36&gt;=$F38,$AD38-SUM($G38:Q38),0)</f>
        <v>8.8668249213430528E-4</v>
      </c>
      <c r="AQ38" s="153">
        <f ca="1">IF(R$36&gt;=$F38,$AD38-SUM($G38:R38),0)</f>
        <v>8.8668249213430528E-4</v>
      </c>
      <c r="AR38" s="153">
        <f ca="1">IF(S$36&gt;=$F38,$AD38-SUM($G38:S38),0)</f>
        <v>8.8668249213430528E-4</v>
      </c>
      <c r="AS38" s="153">
        <f ca="1">IF(T$36&gt;=$F38,$AD38-SUM($G38:T38),0)</f>
        <v>8.8668249213430528E-4</v>
      </c>
      <c r="AT38" s="153">
        <f ca="1">IF(U$36&gt;=$F38,$AD38-SUM($G38:U38),0)</f>
        <v>8.8668249213430528E-4</v>
      </c>
      <c r="AU38" s="153">
        <f ca="1">IF(V$36&gt;=$F38,$AD38-SUM($G38:V38),0)</f>
        <v>8.8668249213430528E-4</v>
      </c>
      <c r="AV38" s="153">
        <f ca="1">IF(W$36&gt;=$F38,$AD38-SUM($G38:W38),0)</f>
        <v>8.8668249213430528E-4</v>
      </c>
      <c r="AW38" s="153">
        <f ca="1">IF(X$36&gt;=$F38,$AD38-SUM($G38:X38),0)</f>
        <v>8.8668249213430528E-4</v>
      </c>
      <c r="AX38" s="153">
        <f ca="1">IF(Y$36&gt;=$F38,$AD38-SUM($G38:Y38),0)</f>
        <v>8.8668249213430528E-4</v>
      </c>
      <c r="AY38" s="153">
        <f ca="1">IF(Z$36&gt;=$F38,$AD38-SUM($G38:Z38),0)</f>
        <v>8.8668249213430528E-4</v>
      </c>
      <c r="AZ38" s="154">
        <f ca="1">IF(AA$36&gt;=$F38,$AD38-SUM($G38:AA38),0)</f>
        <v>8.8668249213430528E-4</v>
      </c>
    </row>
    <row r="39" spans="2:52" x14ac:dyDescent="0.3">
      <c r="B39" s="147">
        <f t="shared" ref="B39:B57" si="7">B38*(1+$L$15)</f>
        <v>110.25</v>
      </c>
      <c r="C39" s="175">
        <f t="shared" ref="C39:C57" si="8">B39-B38</f>
        <v>5.25</v>
      </c>
      <c r="D39" s="177">
        <f t="shared" ca="1" si="5"/>
        <v>121.75470333499527</v>
      </c>
      <c r="E39" s="170" cm="1">
        <f t="array" aca="1" ref="E39" ca="1">INDEX($G$58:$AA$58, 0, MATCH(F39,$G$36:$AA$36,0))+C39</f>
        <v>16.75470333499527</v>
      </c>
      <c r="F39" s="157">
        <v>2100</v>
      </c>
      <c r="G39" s="152">
        <f t="shared" si="3"/>
        <v>0</v>
      </c>
      <c r="H39" s="153">
        <f t="shared" si="3"/>
        <v>0</v>
      </c>
      <c r="I39" s="153">
        <f t="shared" ref="I39:AA39" ca="1" si="9">IF(I$36&gt;=$F39,$E39*INDEX($F$8:$Z$8,MATCH(I$67-$F39,$F$6:$Z$6,0)),0)</f>
        <v>0</v>
      </c>
      <c r="J39" s="153">
        <f t="shared" ca="1" si="9"/>
        <v>0</v>
      </c>
      <c r="K39" s="153">
        <f t="shared" ca="1" si="9"/>
        <v>1.9275789133497643</v>
      </c>
      <c r="L39" s="153">
        <f t="shared" ca="1" si="9"/>
        <v>4.320183697124893</v>
      </c>
      <c r="M39" s="153">
        <f t="shared" ca="1" si="9"/>
        <v>4.544442147595503</v>
      </c>
      <c r="N39" s="153">
        <f t="shared" ca="1" si="9"/>
        <v>3.252143656061262</v>
      </c>
      <c r="O39" s="153">
        <f t="shared" ca="1" si="9"/>
        <v>1.7224987570337267</v>
      </c>
      <c r="P39" s="153">
        <f t="shared" ca="1" si="9"/>
        <v>0.69794044812259948</v>
      </c>
      <c r="Q39" s="153">
        <f t="shared" ca="1" si="9"/>
        <v>0.21992568194593176</v>
      </c>
      <c r="R39" s="153">
        <f t="shared" ca="1" si="9"/>
        <v>6.7018813339981081E-2</v>
      </c>
      <c r="S39" s="153">
        <f t="shared" ca="1" si="9"/>
        <v>0</v>
      </c>
      <c r="T39" s="153">
        <f t="shared" ca="1" si="9"/>
        <v>0</v>
      </c>
      <c r="U39" s="153">
        <f t="shared" ca="1" si="9"/>
        <v>0</v>
      </c>
      <c r="V39" s="153">
        <f t="shared" ca="1" si="9"/>
        <v>0</v>
      </c>
      <c r="W39" s="153">
        <f t="shared" ca="1" si="9"/>
        <v>0</v>
      </c>
      <c r="X39" s="153">
        <f t="shared" ca="1" si="9"/>
        <v>0</v>
      </c>
      <c r="Y39" s="153">
        <f t="shared" ca="1" si="9"/>
        <v>0</v>
      </c>
      <c r="Z39" s="153">
        <f t="shared" ca="1" si="9"/>
        <v>0</v>
      </c>
      <c r="AA39" s="154">
        <f t="shared" ca="1" si="9"/>
        <v>0</v>
      </c>
      <c r="AD39" s="170">
        <f ca="1"/>
        <v>16.75470333499527</v>
      </c>
      <c r="AE39" s="157">
        <v>2100</v>
      </c>
      <c r="AF39" s="152">
        <f>IF(G$36&gt;=$F39,$AD39-SUM($G39:G39),0)</f>
        <v>0</v>
      </c>
      <c r="AG39" s="153">
        <f>IF(H$36&gt;=$F39,$AD39-SUM($G39:H39),0)</f>
        <v>0</v>
      </c>
      <c r="AH39" s="153">
        <f ca="1">IF(I$36&gt;=$F39,$AD39-SUM($G39:I39),0)</f>
        <v>16.75470333499527</v>
      </c>
      <c r="AI39" s="153">
        <f ca="1">IF(J$36&gt;=$F39,$AD39-SUM($G39:J39),0)</f>
        <v>16.75470333499527</v>
      </c>
      <c r="AJ39" s="153">
        <f ca="1">IF(K$36&gt;=$F39,$AD39-SUM($G39:K39),0)</f>
        <v>14.827124421645506</v>
      </c>
      <c r="AK39" s="153">
        <f ca="1">IF(L$36&gt;=$F39,$AD39-SUM($G39:L39),0)</f>
        <v>10.506940724520613</v>
      </c>
      <c r="AL39" s="153">
        <f ca="1">IF(M$36&gt;=$F39,$AD39-SUM($G39:M39),0)</f>
        <v>5.9624985769251104</v>
      </c>
      <c r="AM39" s="153">
        <f ca="1">IF(N$36&gt;=$F39,$AD39-SUM($G39:N39),0)</f>
        <v>2.710354920863848</v>
      </c>
      <c r="AN39" s="153">
        <f ca="1">IF(O$36&gt;=$F39,$AD39-SUM($G39:O39),0)</f>
        <v>0.98785616383012176</v>
      </c>
      <c r="AO39" s="153">
        <f ca="1">IF(P$36&gt;=$F39,$AD39-SUM($G39:P39),0)</f>
        <v>0.28991571570752228</v>
      </c>
      <c r="AP39" s="153">
        <f ca="1">IF(Q$36&gt;=$F39,$AD39-SUM($G39:Q39),0)</f>
        <v>6.9990033761591519E-2</v>
      </c>
      <c r="AQ39" s="153">
        <f ca="1">IF(R$36&gt;=$F39,$AD39-SUM($G39:R39),0)</f>
        <v>2.9712204216103544E-3</v>
      </c>
      <c r="AR39" s="153">
        <f ca="1">IF(S$36&gt;=$F39,$AD39-SUM($G39:S39),0)</f>
        <v>2.9712204216103544E-3</v>
      </c>
      <c r="AS39" s="153">
        <f ca="1">IF(T$36&gt;=$F39,$AD39-SUM($G39:T39),0)</f>
        <v>2.9712204216103544E-3</v>
      </c>
      <c r="AT39" s="153">
        <f ca="1">IF(U$36&gt;=$F39,$AD39-SUM($G39:U39),0)</f>
        <v>2.9712204216103544E-3</v>
      </c>
      <c r="AU39" s="153">
        <f ca="1">IF(V$36&gt;=$F39,$AD39-SUM($G39:V39),0)</f>
        <v>2.9712204216103544E-3</v>
      </c>
      <c r="AV39" s="153">
        <f ca="1">IF(W$36&gt;=$F39,$AD39-SUM($G39:W39),0)</f>
        <v>2.9712204216103544E-3</v>
      </c>
      <c r="AW39" s="153">
        <f ca="1">IF(X$36&gt;=$F39,$AD39-SUM($G39:X39),0)</f>
        <v>2.9712204216103544E-3</v>
      </c>
      <c r="AX39" s="153">
        <f ca="1">IF(Y$36&gt;=$F39,$AD39-SUM($G39:Y39),0)</f>
        <v>2.9712204216103544E-3</v>
      </c>
      <c r="AY39" s="153">
        <f ca="1">IF(Z$36&gt;=$F39,$AD39-SUM($G39:Z39),0)</f>
        <v>2.9712204216103544E-3</v>
      </c>
      <c r="AZ39" s="154">
        <f ca="1">IF(AA$36&gt;=$F39,$AD39-SUM($G39:AA39),0)</f>
        <v>2.9712204216103544E-3</v>
      </c>
    </row>
    <row r="40" spans="2:52" x14ac:dyDescent="0.3">
      <c r="B40" s="147">
        <f t="shared" si="7"/>
        <v>115.7625</v>
      </c>
      <c r="C40" s="175">
        <f t="shared" si="8"/>
        <v>5.5125000000000028</v>
      </c>
      <c r="D40" s="177">
        <f t="shared" ca="1" si="5"/>
        <v>153.62733967693563</v>
      </c>
      <c r="E40" s="170" cm="1">
        <f t="array" aca="1" ref="E40" ca="1">INDEX($G$58:$AA$58, 0, MATCH(F40,$G$36:$AA$36,0))+C40</f>
        <v>31.87263634194036</v>
      </c>
      <c r="F40" s="157">
        <v>2110</v>
      </c>
      <c r="G40" s="152">
        <f t="shared" si="3"/>
        <v>0</v>
      </c>
      <c r="H40" s="153">
        <f t="shared" si="3"/>
        <v>0</v>
      </c>
      <c r="I40" s="153">
        <f t="shared" si="3"/>
        <v>0</v>
      </c>
      <c r="J40" s="153">
        <f t="shared" ref="J40:AA40" ca="1" si="10">IF(J$36&gt;=$F40,$E40*INDEX($F$8:$Z$8,MATCH(J$67-$F40,$F$6:$Z$6,0)),0)</f>
        <v>0</v>
      </c>
      <c r="K40" s="153">
        <f t="shared" ca="1" si="10"/>
        <v>0</v>
      </c>
      <c r="L40" s="153">
        <f t="shared" ca="1" si="10"/>
        <v>3.6668522561821266</v>
      </c>
      <c r="M40" s="153">
        <f t="shared" ca="1" si="10"/>
        <v>8.2183277826972052</v>
      </c>
      <c r="N40" s="153">
        <f t="shared" ca="1" si="10"/>
        <v>8.644936830648982</v>
      </c>
      <c r="O40" s="153">
        <f t="shared" ca="1" si="10"/>
        <v>6.1865847463194275</v>
      </c>
      <c r="P40" s="153">
        <f t="shared" ca="1" si="10"/>
        <v>3.2767262651383589</v>
      </c>
      <c r="Q40" s="153">
        <f t="shared" ca="1" si="10"/>
        <v>1.3276989539336888</v>
      </c>
      <c r="R40" s="153">
        <f t="shared" ca="1" si="10"/>
        <v>0.41836677992830007</v>
      </c>
      <c r="S40" s="153">
        <f t="shared" ca="1" si="10"/>
        <v>0.12749054536776144</v>
      </c>
      <c r="T40" s="153">
        <f t="shared" ca="1" si="10"/>
        <v>0</v>
      </c>
      <c r="U40" s="153">
        <f t="shared" ca="1" si="10"/>
        <v>0</v>
      </c>
      <c r="V40" s="153">
        <f t="shared" ca="1" si="10"/>
        <v>0</v>
      </c>
      <c r="W40" s="153">
        <f t="shared" ca="1" si="10"/>
        <v>0</v>
      </c>
      <c r="X40" s="153">
        <f t="shared" ca="1" si="10"/>
        <v>0</v>
      </c>
      <c r="Y40" s="153">
        <f t="shared" ca="1" si="10"/>
        <v>0</v>
      </c>
      <c r="Z40" s="153">
        <f t="shared" ca="1" si="10"/>
        <v>0</v>
      </c>
      <c r="AA40" s="154">
        <f t="shared" ca="1" si="10"/>
        <v>0</v>
      </c>
      <c r="AD40" s="170">
        <f ca="1"/>
        <v>31.87263634194036</v>
      </c>
      <c r="AE40" s="157">
        <v>2110</v>
      </c>
      <c r="AF40" s="152">
        <f>IF(G$36&gt;=$F40,$AD40-SUM($G40:G40),0)</f>
        <v>0</v>
      </c>
      <c r="AG40" s="153">
        <f>IF(H$36&gt;=$F40,$AD40-SUM($G40:H40),0)</f>
        <v>0</v>
      </c>
      <c r="AH40" s="153">
        <f>IF(I$36&gt;=$F40,$AD40-SUM($G40:I40),0)</f>
        <v>0</v>
      </c>
      <c r="AI40" s="153">
        <f ca="1">IF(J$36&gt;=$F40,$AD40-SUM($G40:J40),0)</f>
        <v>31.87263634194036</v>
      </c>
      <c r="AJ40" s="153">
        <f ca="1">IF(K$36&gt;=$F40,$AD40-SUM($G40:K40),0)</f>
        <v>31.87263634194036</v>
      </c>
      <c r="AK40" s="153">
        <f ca="1">IF(L$36&gt;=$F40,$AD40-SUM($G40:L40),0)</f>
        <v>28.205784085758232</v>
      </c>
      <c r="AL40" s="153">
        <f ca="1">IF(M$36&gt;=$F40,$AD40-SUM($G40:M40),0)</f>
        <v>19.98745630306103</v>
      </c>
      <c r="AM40" s="153">
        <f ca="1">IF(N$36&gt;=$F40,$AD40-SUM($G40:N40),0)</f>
        <v>11.342519472412047</v>
      </c>
      <c r="AN40" s="153">
        <f ca="1">IF(O$36&gt;=$F40,$AD40-SUM($G40:O40),0)</f>
        <v>5.1559347260926209</v>
      </c>
      <c r="AO40" s="153">
        <f ca="1">IF(P$36&gt;=$F40,$AD40-SUM($G40:P40),0)</f>
        <v>1.8792084609542634</v>
      </c>
      <c r="AP40" s="153">
        <f ca="1">IF(Q$36&gt;=$F40,$AD40-SUM($G40:Q40),0)</f>
        <v>0.551509507020576</v>
      </c>
      <c r="AQ40" s="153">
        <f ca="1">IF(R$36&gt;=$F40,$AD40-SUM($G40:R40),0)</f>
        <v>0.13314272709227737</v>
      </c>
      <c r="AR40" s="153">
        <f ca="1">IF(S$36&gt;=$F40,$AD40-SUM($G40:S40),0)</f>
        <v>5.6521817245176464E-3</v>
      </c>
      <c r="AS40" s="153">
        <f ca="1">IF(T$36&gt;=$F40,$AD40-SUM($G40:T40),0)</f>
        <v>5.6521817245176464E-3</v>
      </c>
      <c r="AT40" s="153">
        <f ca="1">IF(U$36&gt;=$F40,$AD40-SUM($G40:U40),0)</f>
        <v>5.6521817245176464E-3</v>
      </c>
      <c r="AU40" s="153">
        <f ca="1">IF(V$36&gt;=$F40,$AD40-SUM($G40:V40),0)</f>
        <v>5.6521817245176464E-3</v>
      </c>
      <c r="AV40" s="153">
        <f ca="1">IF(W$36&gt;=$F40,$AD40-SUM($G40:W40),0)</f>
        <v>5.6521817245176464E-3</v>
      </c>
      <c r="AW40" s="153">
        <f ca="1">IF(X$36&gt;=$F40,$AD40-SUM($G40:X40),0)</f>
        <v>5.6521817245176464E-3</v>
      </c>
      <c r="AX40" s="153">
        <f ca="1">IF(Y$36&gt;=$F40,$AD40-SUM($G40:Y40),0)</f>
        <v>5.6521817245176464E-3</v>
      </c>
      <c r="AY40" s="153">
        <f ca="1">IF(Z$36&gt;=$F40,$AD40-SUM($G40:Z40),0)</f>
        <v>5.6521817245176464E-3</v>
      </c>
      <c r="AZ40" s="154">
        <f ca="1">IF(AA$36&gt;=$F40,$AD40-SUM($G40:AA40),0)</f>
        <v>5.6521817245176464E-3</v>
      </c>
    </row>
    <row r="41" spans="2:52" x14ac:dyDescent="0.3">
      <c r="B41" s="147">
        <f t="shared" si="7"/>
        <v>121.55062500000001</v>
      </c>
      <c r="C41" s="175">
        <f t="shared" si="8"/>
        <v>5.788125000000008</v>
      </c>
      <c r="D41" s="177">
        <f t="shared" ca="1" si="5"/>
        <v>189.75567040480306</v>
      </c>
      <c r="E41" s="170" cm="1">
        <f t="array" aca="1" ref="E41" ca="1">INDEX($G$58:$AA$58, 0, MATCH(F41,$G$36:$AA$36,0))+C41</f>
        <v>36.128330727867414</v>
      </c>
      <c r="F41" s="157">
        <v>2120</v>
      </c>
      <c r="G41" s="152">
        <f t="shared" si="3"/>
        <v>0</v>
      </c>
      <c r="H41" s="153">
        <f t="shared" si="3"/>
        <v>0</v>
      </c>
      <c r="I41" s="153">
        <f t="shared" si="3"/>
        <v>0</v>
      </c>
      <c r="J41" s="153">
        <f t="shared" si="3"/>
        <v>0</v>
      </c>
      <c r="K41" s="153">
        <f t="shared" ref="K41:AA41" ca="1" si="11">IF(K$36&gt;=$F41,$E41*INDEX($F$8:$Z$8,MATCH(K$67-$F41,$F$6:$Z$6,0)),0)</f>
        <v>0</v>
      </c>
      <c r="L41" s="153">
        <f t="shared" ca="1" si="11"/>
        <v>0</v>
      </c>
      <c r="M41" s="153">
        <f t="shared" ca="1" si="11"/>
        <v>4.156457270127083</v>
      </c>
      <c r="N41" s="153">
        <f t="shared" ca="1" si="11"/>
        <v>9.3156543744266287</v>
      </c>
      <c r="O41" s="153">
        <f t="shared" ca="1" si="11"/>
        <v>9.7992250653023429</v>
      </c>
      <c r="P41" s="153">
        <f t="shared" ca="1" si="11"/>
        <v>7.0126291842666246</v>
      </c>
      <c r="Q41" s="153">
        <f t="shared" ca="1" si="11"/>
        <v>3.7142409225757018</v>
      </c>
      <c r="R41" s="153">
        <f t="shared" ca="1" si="11"/>
        <v>1.5049758168777736</v>
      </c>
      <c r="S41" s="153">
        <f t="shared" ca="1" si="11"/>
        <v>0.47422789971450396</v>
      </c>
      <c r="T41" s="153">
        <f t="shared" ca="1" si="11"/>
        <v>0.14451332291146965</v>
      </c>
      <c r="U41" s="153">
        <f t="shared" ca="1" si="11"/>
        <v>0</v>
      </c>
      <c r="V41" s="153">
        <f t="shared" ca="1" si="11"/>
        <v>0</v>
      </c>
      <c r="W41" s="153">
        <f t="shared" ca="1" si="11"/>
        <v>0</v>
      </c>
      <c r="X41" s="153">
        <f t="shared" ca="1" si="11"/>
        <v>0</v>
      </c>
      <c r="Y41" s="153">
        <f t="shared" ca="1" si="11"/>
        <v>0</v>
      </c>
      <c r="Z41" s="153">
        <f t="shared" ca="1" si="11"/>
        <v>0</v>
      </c>
      <c r="AA41" s="154">
        <f t="shared" ca="1" si="11"/>
        <v>0</v>
      </c>
      <c r="AD41" s="170">
        <f ca="1"/>
        <v>36.128330727867414</v>
      </c>
      <c r="AE41" s="157">
        <v>2120</v>
      </c>
      <c r="AF41" s="152">
        <f>IF(G$36&gt;=$F41,$AD41-SUM($G41:G41),0)</f>
        <v>0</v>
      </c>
      <c r="AG41" s="153">
        <f>IF(H$36&gt;=$F41,$AD41-SUM($G41:H41),0)</f>
        <v>0</v>
      </c>
      <c r="AH41" s="153">
        <f>IF(I$36&gt;=$F41,$AD41-SUM($G41:I41),0)</f>
        <v>0</v>
      </c>
      <c r="AI41" s="153">
        <f>IF(J$36&gt;=$F41,$AD41-SUM($G41:J41),0)</f>
        <v>0</v>
      </c>
      <c r="AJ41" s="153">
        <f ca="1">IF(K$36&gt;=$F41,$AD41-SUM($G41:K41),0)</f>
        <v>36.128330727867414</v>
      </c>
      <c r="AK41" s="153">
        <f ca="1">IF(L$36&gt;=$F41,$AD41-SUM($G41:L41),0)</f>
        <v>36.128330727867414</v>
      </c>
      <c r="AL41" s="153">
        <f ca="1">IF(M$36&gt;=$F41,$AD41-SUM($G41:M41),0)</f>
        <v>31.97187345774033</v>
      </c>
      <c r="AM41" s="153">
        <f ca="1">IF(N$36&gt;=$F41,$AD41-SUM($G41:N41),0)</f>
        <v>22.656219083313701</v>
      </c>
      <c r="AN41" s="153">
        <f ca="1">IF(O$36&gt;=$F41,$AD41-SUM($G41:O41),0)</f>
        <v>12.85699401801136</v>
      </c>
      <c r="AO41" s="153">
        <f ca="1">IF(P$36&gt;=$F41,$AD41-SUM($G41:P41),0)</f>
        <v>5.8443648337447343</v>
      </c>
      <c r="AP41" s="153">
        <f ca="1">IF(Q$36&gt;=$F41,$AD41-SUM($G41:Q41),0)</f>
        <v>2.1301239111690293</v>
      </c>
      <c r="AQ41" s="153">
        <f ca="1">IF(R$36&gt;=$F41,$AD41-SUM($G41:R41),0)</f>
        <v>0.62514809429125506</v>
      </c>
      <c r="AR41" s="153">
        <f ca="1">IF(S$36&gt;=$F41,$AD41-SUM($G41:S41),0)</f>
        <v>0.15092019457674866</v>
      </c>
      <c r="AS41" s="153">
        <f ca="1">IF(T$36&gt;=$F41,$AD41-SUM($G41:T41),0)</f>
        <v>6.4068716652769808E-3</v>
      </c>
      <c r="AT41" s="153">
        <f ca="1">IF(U$36&gt;=$F41,$AD41-SUM($G41:U41),0)</f>
        <v>6.4068716652769808E-3</v>
      </c>
      <c r="AU41" s="153">
        <f ca="1">IF(V$36&gt;=$F41,$AD41-SUM($G41:V41),0)</f>
        <v>6.4068716652769808E-3</v>
      </c>
      <c r="AV41" s="153">
        <f ca="1">IF(W$36&gt;=$F41,$AD41-SUM($G41:W41),0)</f>
        <v>6.4068716652769808E-3</v>
      </c>
      <c r="AW41" s="153">
        <f ca="1">IF(X$36&gt;=$F41,$AD41-SUM($G41:X41),0)</f>
        <v>6.4068716652769808E-3</v>
      </c>
      <c r="AX41" s="153">
        <f ca="1">IF(Y$36&gt;=$F41,$AD41-SUM($G41:Y41),0)</f>
        <v>6.4068716652769808E-3</v>
      </c>
      <c r="AY41" s="153">
        <f ca="1">IF(Z$36&gt;=$F41,$AD41-SUM($G41:Z41),0)</f>
        <v>6.4068716652769808E-3</v>
      </c>
      <c r="AZ41" s="154">
        <f ca="1">IF(AA$36&gt;=$F41,$AD41-SUM($G41:AA41),0)</f>
        <v>6.4068716652769808E-3</v>
      </c>
    </row>
    <row r="42" spans="2:52" x14ac:dyDescent="0.3">
      <c r="B42" s="147">
        <f t="shared" si="7"/>
        <v>127.62815625000002</v>
      </c>
      <c r="C42" s="175">
        <f t="shared" si="8"/>
        <v>6.0775312500000069</v>
      </c>
      <c r="D42" s="177">
        <f t="shared" ca="1" si="5"/>
        <v>224.58673937107324</v>
      </c>
      <c r="E42" s="170" cm="1">
        <f t="array" aca="1" ref="E42" ca="1">INDEX($G$58:$AA$58, 0, MATCH(F42,$G$36:$AA$36,0))+C42</f>
        <v>34.831068966270166</v>
      </c>
      <c r="F42" s="157">
        <v>2130</v>
      </c>
      <c r="G42" s="152">
        <f t="shared" si="3"/>
        <v>0</v>
      </c>
      <c r="H42" s="153">
        <f t="shared" si="3"/>
        <v>0</v>
      </c>
      <c r="I42" s="153">
        <f t="shared" si="3"/>
        <v>0</v>
      </c>
      <c r="J42" s="153">
        <f t="shared" si="3"/>
        <v>0</v>
      </c>
      <c r="K42" s="153">
        <f t="shared" si="3"/>
        <v>0</v>
      </c>
      <c r="L42" s="153">
        <f t="shared" ref="L42:AA42" ca="1" si="12">IF(L$36&gt;=$F42,$E42*INDEX($F$8:$Z$8,MATCH(L$67-$F42,$F$6:$Z$6,0)),0)</f>
        <v>0</v>
      </c>
      <c r="M42" s="153">
        <f t="shared" ca="1" si="12"/>
        <v>0</v>
      </c>
      <c r="N42" s="153">
        <f t="shared" ca="1" si="12"/>
        <v>4.0072111529769856</v>
      </c>
      <c r="O42" s="153">
        <f t="shared" ca="1" si="12"/>
        <v>8.9811567112152417</v>
      </c>
      <c r="P42" s="153">
        <f t="shared" ca="1" si="12"/>
        <v>9.4473638053328486</v>
      </c>
      <c r="Q42" s="153">
        <f t="shared" ca="1" si="12"/>
        <v>6.7608263606727599</v>
      </c>
      <c r="R42" s="153">
        <f t="shared" ca="1" si="12"/>
        <v>3.5808734897288654</v>
      </c>
      <c r="S42" s="153">
        <f t="shared" ca="1" si="12"/>
        <v>1.4509365756498862</v>
      </c>
      <c r="T42" s="153">
        <f t="shared" ca="1" si="12"/>
        <v>0.45719977502155573</v>
      </c>
      <c r="U42" s="153">
        <f t="shared" ca="1" si="12"/>
        <v>0.13932427586508067</v>
      </c>
      <c r="V42" s="153">
        <f t="shared" ca="1" si="12"/>
        <v>0</v>
      </c>
      <c r="W42" s="153">
        <f t="shared" ca="1" si="12"/>
        <v>0</v>
      </c>
      <c r="X42" s="153">
        <f t="shared" ca="1" si="12"/>
        <v>0</v>
      </c>
      <c r="Y42" s="153">
        <f t="shared" ca="1" si="12"/>
        <v>0</v>
      </c>
      <c r="Z42" s="153">
        <f t="shared" ca="1" si="12"/>
        <v>0</v>
      </c>
      <c r="AA42" s="154">
        <f t="shared" ca="1" si="12"/>
        <v>0</v>
      </c>
      <c r="AD42" s="170">
        <f ca="1"/>
        <v>34.831068966270166</v>
      </c>
      <c r="AE42" s="157">
        <v>2130</v>
      </c>
      <c r="AF42" s="152">
        <f>IF(G$36&gt;=$F42,$AD42-SUM($G42:G42),0)</f>
        <v>0</v>
      </c>
      <c r="AG42" s="153">
        <f>IF(H$36&gt;=$F42,$AD42-SUM($G42:H42),0)</f>
        <v>0</v>
      </c>
      <c r="AH42" s="153">
        <f>IF(I$36&gt;=$F42,$AD42-SUM($G42:I42),0)</f>
        <v>0</v>
      </c>
      <c r="AI42" s="153">
        <f>IF(J$36&gt;=$F42,$AD42-SUM($G42:J42),0)</f>
        <v>0</v>
      </c>
      <c r="AJ42" s="153">
        <f>IF(K$36&gt;=$F42,$AD42-SUM($G42:K42),0)</f>
        <v>0</v>
      </c>
      <c r="AK42" s="153">
        <f ca="1">IF(L$36&gt;=$F42,$AD42-SUM($G42:L42),0)</f>
        <v>34.831068966270166</v>
      </c>
      <c r="AL42" s="153">
        <f ca="1">IF(M$36&gt;=$F42,$AD42-SUM($G42:M42),0)</f>
        <v>34.831068966270166</v>
      </c>
      <c r="AM42" s="153">
        <f ca="1">IF(N$36&gt;=$F42,$AD42-SUM($G42:N42),0)</f>
        <v>30.823857813293181</v>
      </c>
      <c r="AN42" s="153">
        <f ca="1">IF(O$36&gt;=$F42,$AD42-SUM($G42:O42),0)</f>
        <v>21.842701102077939</v>
      </c>
      <c r="AO42" s="153">
        <f ca="1">IF(P$36&gt;=$F42,$AD42-SUM($G42:P42),0)</f>
        <v>12.39533729674509</v>
      </c>
      <c r="AP42" s="153">
        <f ca="1">IF(Q$36&gt;=$F42,$AD42-SUM($G42:Q42),0)</f>
        <v>5.6345109360723313</v>
      </c>
      <c r="AQ42" s="153">
        <f ca="1">IF(R$36&gt;=$F42,$AD42-SUM($G42:R42),0)</f>
        <v>2.0536374463434655</v>
      </c>
      <c r="AR42" s="153">
        <f ca="1">IF(S$36&gt;=$F42,$AD42-SUM($G42:S42),0)</f>
        <v>0.60270087069358169</v>
      </c>
      <c r="AS42" s="153">
        <f ca="1">IF(T$36&gt;=$F42,$AD42-SUM($G42:T42),0)</f>
        <v>0.14550109567202441</v>
      </c>
      <c r="AT42" s="153">
        <f ca="1">IF(U$36&gt;=$F42,$AD42-SUM($G42:U42),0)</f>
        <v>6.1768198069458435E-3</v>
      </c>
      <c r="AU42" s="153">
        <f ca="1">IF(V$36&gt;=$F42,$AD42-SUM($G42:V42),0)</f>
        <v>6.1768198069458435E-3</v>
      </c>
      <c r="AV42" s="153">
        <f ca="1">IF(W$36&gt;=$F42,$AD42-SUM($G42:W42),0)</f>
        <v>6.1768198069458435E-3</v>
      </c>
      <c r="AW42" s="153">
        <f ca="1">IF(X$36&gt;=$F42,$AD42-SUM($G42:X42),0)</f>
        <v>6.1768198069458435E-3</v>
      </c>
      <c r="AX42" s="153">
        <f ca="1">IF(Y$36&gt;=$F42,$AD42-SUM($G42:Y42),0)</f>
        <v>6.1768198069458435E-3</v>
      </c>
      <c r="AY42" s="153">
        <f ca="1">IF(Z$36&gt;=$F42,$AD42-SUM($G42:Z42),0)</f>
        <v>6.1768198069458435E-3</v>
      </c>
      <c r="AZ42" s="154">
        <f ca="1">IF(AA$36&gt;=$F42,$AD42-SUM($G42:AA42),0)</f>
        <v>6.1768198069458435E-3</v>
      </c>
    </row>
    <row r="43" spans="2:52" x14ac:dyDescent="0.3">
      <c r="B43" s="147">
        <f t="shared" si="7"/>
        <v>134.00956406250003</v>
      </c>
      <c r="C43" s="175">
        <f t="shared" si="8"/>
        <v>6.3814078125000151</v>
      </c>
      <c r="D43" s="177">
        <f t="shared" ca="1" si="5"/>
        <v>259.13857890934804</v>
      </c>
      <c r="E43" s="170" cm="1">
        <f t="array" aca="1" ref="E43" ca="1">INDEX($G$58:$AA$58, 0, MATCH(F43,$G$36:$AA$36,0))+C43</f>
        <v>34.551839538274791</v>
      </c>
      <c r="F43" s="157">
        <v>2140</v>
      </c>
      <c r="G43" s="152">
        <f t="shared" si="3"/>
        <v>0</v>
      </c>
      <c r="H43" s="153">
        <f t="shared" si="3"/>
        <v>0</v>
      </c>
      <c r="I43" s="153">
        <f t="shared" si="3"/>
        <v>0</v>
      </c>
      <c r="J43" s="153">
        <f t="shared" si="3"/>
        <v>0</v>
      </c>
      <c r="K43" s="153">
        <f t="shared" si="3"/>
        <v>0</v>
      </c>
      <c r="L43" s="153">
        <f t="shared" si="3"/>
        <v>0</v>
      </c>
      <c r="M43" s="153">
        <f t="shared" ref="M43:AA43" ca="1" si="13">IF(M$36&gt;=$F43,$E43*INDEX($F$8:$Z$8,MATCH(M$67-$F43,$F$6:$Z$6,0)),0)</f>
        <v>0</v>
      </c>
      <c r="N43" s="153">
        <f t="shared" ca="1" si="13"/>
        <v>0</v>
      </c>
      <c r="O43" s="153">
        <f t="shared" ca="1" si="13"/>
        <v>3.9750866356621137</v>
      </c>
      <c r="P43" s="153">
        <f t="shared" ca="1" si="13"/>
        <v>8.9091576791545855</v>
      </c>
      <c r="Q43" s="153">
        <f t="shared" ca="1" si="13"/>
        <v>9.3716273416032436</v>
      </c>
      <c r="R43" s="153">
        <f t="shared" ca="1" si="13"/>
        <v>6.7066269997718688</v>
      </c>
      <c r="S43" s="153">
        <f t="shared" ca="1" si="13"/>
        <v>3.5521667837351716</v>
      </c>
      <c r="T43" s="153">
        <f t="shared" ca="1" si="13"/>
        <v>1.4393048858367308</v>
      </c>
      <c r="U43" s="153">
        <f t="shared" ca="1" si="13"/>
        <v>0.45353455212005617</v>
      </c>
      <c r="V43" s="153">
        <f t="shared" ca="1" si="13"/>
        <v>0.13820735815309917</v>
      </c>
      <c r="W43" s="153">
        <f t="shared" ca="1" si="13"/>
        <v>0</v>
      </c>
      <c r="X43" s="153">
        <f t="shared" ca="1" si="13"/>
        <v>0</v>
      </c>
      <c r="Y43" s="153">
        <f t="shared" ca="1" si="13"/>
        <v>0</v>
      </c>
      <c r="Z43" s="153">
        <f t="shared" ca="1" si="13"/>
        <v>0</v>
      </c>
      <c r="AA43" s="154">
        <f t="shared" ca="1" si="13"/>
        <v>0</v>
      </c>
      <c r="AD43" s="170">
        <f ca="1"/>
        <v>34.551839538274791</v>
      </c>
      <c r="AE43" s="157">
        <v>2140</v>
      </c>
      <c r="AF43" s="152">
        <f>IF(G$36&gt;=$F43,$AD43-SUM($G43:G43),0)</f>
        <v>0</v>
      </c>
      <c r="AG43" s="153">
        <f>IF(H$36&gt;=$F43,$AD43-SUM($G43:H43),0)</f>
        <v>0</v>
      </c>
      <c r="AH43" s="153">
        <f>IF(I$36&gt;=$F43,$AD43-SUM($G43:I43),0)</f>
        <v>0</v>
      </c>
      <c r="AI43" s="153">
        <f>IF(J$36&gt;=$F43,$AD43-SUM($G43:J43),0)</f>
        <v>0</v>
      </c>
      <c r="AJ43" s="153">
        <f>IF(K$36&gt;=$F43,$AD43-SUM($G43:K43),0)</f>
        <v>0</v>
      </c>
      <c r="AK43" s="153">
        <f>IF(L$36&gt;=$F43,$AD43-SUM($G43:L43),0)</f>
        <v>0</v>
      </c>
      <c r="AL43" s="153">
        <f ca="1">IF(M$36&gt;=$F43,$AD43-SUM($G43:M43),0)</f>
        <v>34.551839538274791</v>
      </c>
      <c r="AM43" s="153">
        <f ca="1">IF(N$36&gt;=$F43,$AD43-SUM($G43:N43),0)</f>
        <v>34.551839538274791</v>
      </c>
      <c r="AN43" s="153">
        <f ca="1">IF(O$36&gt;=$F43,$AD43-SUM($G43:O43),0)</f>
        <v>30.576752902612679</v>
      </c>
      <c r="AO43" s="153">
        <f ca="1">IF(P$36&gt;=$F43,$AD43-SUM($G43:P43),0)</f>
        <v>21.667595223458093</v>
      </c>
      <c r="AP43" s="153">
        <f ca="1">IF(Q$36&gt;=$F43,$AD43-SUM($G43:Q43),0)</f>
        <v>12.29596788185485</v>
      </c>
      <c r="AQ43" s="153">
        <f ca="1">IF(R$36&gt;=$F43,$AD43-SUM($G43:R43),0)</f>
        <v>5.5893408820829791</v>
      </c>
      <c r="AR43" s="153">
        <f ca="1">IF(S$36&gt;=$F43,$AD43-SUM($G43:S43),0)</f>
        <v>2.0371740983478048</v>
      </c>
      <c r="AS43" s="153">
        <f ca="1">IF(T$36&gt;=$F43,$AD43-SUM($G43:T43),0)</f>
        <v>0.59786921251107117</v>
      </c>
      <c r="AT43" s="153">
        <f ca="1">IF(U$36&gt;=$F43,$AD43-SUM($G43:U43),0)</f>
        <v>0.14433466039101717</v>
      </c>
      <c r="AU43" s="153">
        <f ca="1">IF(V$36&gt;=$F43,$AD43-SUM($G43:V43),0)</f>
        <v>6.1273022379211284E-3</v>
      </c>
      <c r="AV43" s="153">
        <f ca="1">IF(W$36&gt;=$F43,$AD43-SUM($G43:W43),0)</f>
        <v>6.1273022379211284E-3</v>
      </c>
      <c r="AW43" s="153">
        <f ca="1">IF(X$36&gt;=$F43,$AD43-SUM($G43:X43),0)</f>
        <v>6.1273022379211284E-3</v>
      </c>
      <c r="AX43" s="153">
        <f ca="1">IF(Y$36&gt;=$F43,$AD43-SUM($G43:Y43),0)</f>
        <v>6.1273022379211284E-3</v>
      </c>
      <c r="AY43" s="153">
        <f ca="1">IF(Z$36&gt;=$F43,$AD43-SUM($G43:Z43),0)</f>
        <v>6.1273022379211284E-3</v>
      </c>
      <c r="AZ43" s="154">
        <f ca="1">IF(AA$36&gt;=$F43,$AD43-SUM($G43:AA43),0)</f>
        <v>6.1273022379211284E-3</v>
      </c>
    </row>
    <row r="44" spans="2:52" x14ac:dyDescent="0.3">
      <c r="B44" s="147">
        <f t="shared" si="7"/>
        <v>140.71004226562505</v>
      </c>
      <c r="C44" s="175">
        <f t="shared" si="8"/>
        <v>6.7004782031250159</v>
      </c>
      <c r="D44" s="177">
        <f t="shared" ca="1" si="5"/>
        <v>295.7386764714239</v>
      </c>
      <c r="E44" s="170" cm="1">
        <f t="array" aca="1" ref="E44" ca="1">INDEX($G$58:$AA$58, 0, MATCH(F44,$G$36:$AA$36,0))+C44</f>
        <v>36.600097562075852</v>
      </c>
      <c r="F44" s="157">
        <v>2150</v>
      </c>
      <c r="G44" s="152">
        <f t="shared" si="3"/>
        <v>0</v>
      </c>
      <c r="H44" s="153">
        <f t="shared" si="3"/>
        <v>0</v>
      </c>
      <c r="I44" s="153">
        <f t="shared" si="3"/>
        <v>0</v>
      </c>
      <c r="J44" s="153">
        <f t="shared" si="3"/>
        <v>0</v>
      </c>
      <c r="K44" s="153">
        <f t="shared" si="3"/>
        <v>0</v>
      </c>
      <c r="L44" s="153">
        <f t="shared" si="3"/>
        <v>0</v>
      </c>
      <c r="M44" s="153">
        <f t="shared" si="3"/>
        <v>0</v>
      </c>
      <c r="N44" s="153">
        <f t="shared" ref="N44:AA44" ca="1" si="14">IF(N$36&gt;=$F44,$E44*INDEX($F$8:$Z$8,MATCH(N$67-$F44,$F$6:$Z$6,0)),0)</f>
        <v>0</v>
      </c>
      <c r="O44" s="153">
        <f t="shared" ca="1" si="14"/>
        <v>0</v>
      </c>
      <c r="P44" s="153">
        <f t="shared" ca="1" si="14"/>
        <v>4.2107326448356623</v>
      </c>
      <c r="Q44" s="153">
        <f t="shared" ca="1" si="14"/>
        <v>9.4372989864046009</v>
      </c>
      <c r="R44" s="153">
        <f t="shared" ca="1" si="14"/>
        <v>9.9271841847417512</v>
      </c>
      <c r="S44" s="153">
        <f t="shared" ca="1" si="14"/>
        <v>7.1042006962376245</v>
      </c>
      <c r="T44" s="153">
        <f t="shared" ca="1" si="14"/>
        <v>3.7627417983767355</v>
      </c>
      <c r="U44" s="153">
        <f t="shared" ca="1" si="14"/>
        <v>1.5246279198779553</v>
      </c>
      <c r="V44" s="153">
        <f t="shared" ca="1" si="14"/>
        <v>0.48042040820948018</v>
      </c>
      <c r="W44" s="153">
        <f t="shared" ca="1" si="14"/>
        <v>0.14640039024830342</v>
      </c>
      <c r="X44" s="153">
        <f t="shared" ca="1" si="14"/>
        <v>0</v>
      </c>
      <c r="Y44" s="153">
        <f t="shared" ca="1" si="14"/>
        <v>0</v>
      </c>
      <c r="Z44" s="153">
        <f t="shared" ca="1" si="14"/>
        <v>0</v>
      </c>
      <c r="AA44" s="154">
        <f t="shared" ca="1" si="14"/>
        <v>0</v>
      </c>
      <c r="AD44" s="170">
        <f ca="1"/>
        <v>36.600097562075852</v>
      </c>
      <c r="AE44" s="157">
        <v>2150</v>
      </c>
      <c r="AF44" s="152">
        <f>IF(G$36&gt;=$F44,$AD44-SUM($G44:G44),0)</f>
        <v>0</v>
      </c>
      <c r="AG44" s="153">
        <f>IF(H$36&gt;=$F44,$AD44-SUM($G44:H44),0)</f>
        <v>0</v>
      </c>
      <c r="AH44" s="153">
        <f>IF(I$36&gt;=$F44,$AD44-SUM($G44:I44),0)</f>
        <v>0</v>
      </c>
      <c r="AI44" s="153">
        <f>IF(J$36&gt;=$F44,$AD44-SUM($G44:J44),0)</f>
        <v>0</v>
      </c>
      <c r="AJ44" s="153">
        <f>IF(K$36&gt;=$F44,$AD44-SUM($G44:K44),0)</f>
        <v>0</v>
      </c>
      <c r="AK44" s="153">
        <f>IF(L$36&gt;=$F44,$AD44-SUM($G44:L44),0)</f>
        <v>0</v>
      </c>
      <c r="AL44" s="153">
        <f>IF(M$36&gt;=$F44,$AD44-SUM($G44:M44),0)</f>
        <v>0</v>
      </c>
      <c r="AM44" s="153">
        <f ca="1">IF(N$36&gt;=$F44,$AD44-SUM($G44:N44),0)</f>
        <v>36.600097562075852</v>
      </c>
      <c r="AN44" s="153">
        <f ca="1">IF(O$36&gt;=$F44,$AD44-SUM($G44:O44),0)</f>
        <v>36.600097562075852</v>
      </c>
      <c r="AO44" s="153">
        <f ca="1">IF(P$36&gt;=$F44,$AD44-SUM($G44:P44),0)</f>
        <v>32.389364917240187</v>
      </c>
      <c r="AP44" s="153">
        <f ca="1">IF(Q$36&gt;=$F44,$AD44-SUM($G44:Q44),0)</f>
        <v>22.952065930835587</v>
      </c>
      <c r="AQ44" s="153">
        <f ca="1">IF(R$36&gt;=$F44,$AD44-SUM($G44:R44),0)</f>
        <v>13.02488174609384</v>
      </c>
      <c r="AR44" s="153">
        <f ca="1">IF(S$36&gt;=$F44,$AD44-SUM($G44:S44),0)</f>
        <v>5.9206810498562135</v>
      </c>
      <c r="AS44" s="153">
        <f ca="1">IF(T$36&gt;=$F44,$AD44-SUM($G44:T44),0)</f>
        <v>2.1579392514794762</v>
      </c>
      <c r="AT44" s="153">
        <f ca="1">IF(U$36&gt;=$F44,$AD44-SUM($G44:U44),0)</f>
        <v>0.63331133160151865</v>
      </c>
      <c r="AU44" s="153">
        <f ca="1">IF(V$36&gt;=$F44,$AD44-SUM($G44:V44),0)</f>
        <v>0.15289092339203592</v>
      </c>
      <c r="AV44" s="153">
        <f ca="1">IF(W$36&gt;=$F44,$AD44-SUM($G44:W44),0)</f>
        <v>6.490533143733046E-3</v>
      </c>
      <c r="AW44" s="153">
        <f ca="1">IF(X$36&gt;=$F44,$AD44-SUM($G44:X44),0)</f>
        <v>6.490533143733046E-3</v>
      </c>
      <c r="AX44" s="153">
        <f ca="1">IF(Y$36&gt;=$F44,$AD44-SUM($G44:Y44),0)</f>
        <v>6.490533143733046E-3</v>
      </c>
      <c r="AY44" s="153">
        <f ca="1">IF(Z$36&gt;=$F44,$AD44-SUM($G44:Z44),0)</f>
        <v>6.490533143733046E-3</v>
      </c>
      <c r="AZ44" s="154">
        <f ca="1">IF(AA$36&gt;=$F44,$AD44-SUM($G44:AA44),0)</f>
        <v>6.490533143733046E-3</v>
      </c>
    </row>
    <row r="45" spans="2:52" x14ac:dyDescent="0.3">
      <c r="B45" s="147">
        <f t="shared" si="7"/>
        <v>147.74554437890632</v>
      </c>
      <c r="C45" s="175">
        <f t="shared" si="8"/>
        <v>7.0355021132812681</v>
      </c>
      <c r="D45" s="177">
        <f t="shared" ca="1" si="5"/>
        <v>334.9596330149356</v>
      </c>
      <c r="E45" s="170" cm="1">
        <f t="array" aca="1" ref="E45" ca="1">INDEX($G$58:$AA$58, 0, MATCH(F45,$G$36:$AA$36,0))+C45</f>
        <v>39.220956543511697</v>
      </c>
      <c r="F45" s="157">
        <v>2160</v>
      </c>
      <c r="G45" s="152">
        <f t="shared" si="3"/>
        <v>0</v>
      </c>
      <c r="H45" s="153">
        <f t="shared" si="3"/>
        <v>0</v>
      </c>
      <c r="I45" s="153">
        <f t="shared" si="3"/>
        <v>0</v>
      </c>
      <c r="J45" s="153">
        <f t="shared" si="3"/>
        <v>0</v>
      </c>
      <c r="K45" s="153">
        <f t="shared" si="3"/>
        <v>0</v>
      </c>
      <c r="L45" s="153">
        <f t="shared" si="3"/>
        <v>0</v>
      </c>
      <c r="M45" s="153">
        <f t="shared" si="3"/>
        <v>0</v>
      </c>
      <c r="N45" s="153">
        <f t="shared" si="3"/>
        <v>0</v>
      </c>
      <c r="O45" s="153">
        <f t="shared" ref="O45:AA45" ca="1" si="15">IF(O$36&gt;=$F45,$E45*INDEX($F$8:$Z$8,MATCH(O$67-$F45,$F$6:$Z$6,0)),0)</f>
        <v>0</v>
      </c>
      <c r="P45" s="153">
        <f t="shared" ca="1" si="15"/>
        <v>0</v>
      </c>
      <c r="Q45" s="153">
        <f t="shared" ca="1" si="15"/>
        <v>4.5122546954784353</v>
      </c>
      <c r="R45" s="153">
        <f t="shared" ca="1" si="15"/>
        <v>10.11308488470894</v>
      </c>
      <c r="S45" s="153">
        <f t="shared" ca="1" si="15"/>
        <v>10.63804977155667</v>
      </c>
      <c r="T45" s="153">
        <f t="shared" ca="1" si="15"/>
        <v>7.6129181434815312</v>
      </c>
      <c r="U45" s="153">
        <f t="shared" ca="1" si="15"/>
        <v>4.0321841303370221</v>
      </c>
      <c r="V45" s="153">
        <f t="shared" ca="1" si="15"/>
        <v>1.6338034424399601</v>
      </c>
      <c r="W45" s="153">
        <f t="shared" ca="1" si="15"/>
        <v>0.51482234223671497</v>
      </c>
      <c r="X45" s="153">
        <f t="shared" ca="1" si="15"/>
        <v>0.15688382617404678</v>
      </c>
      <c r="Y45" s="153">
        <f t="shared" ca="1" si="15"/>
        <v>0</v>
      </c>
      <c r="Z45" s="153">
        <f t="shared" ca="1" si="15"/>
        <v>0</v>
      </c>
      <c r="AA45" s="154">
        <f t="shared" ca="1" si="15"/>
        <v>0</v>
      </c>
      <c r="AD45" s="170">
        <f ca="1"/>
        <v>39.220956543511697</v>
      </c>
      <c r="AE45" s="157">
        <v>2160</v>
      </c>
      <c r="AF45" s="152">
        <f>IF(G$36&gt;=$F45,$AD45-SUM($G45:G45),0)</f>
        <v>0</v>
      </c>
      <c r="AG45" s="153">
        <f>IF(H$36&gt;=$F45,$AD45-SUM($G45:H45),0)</f>
        <v>0</v>
      </c>
      <c r="AH45" s="153">
        <f>IF(I$36&gt;=$F45,$AD45-SUM($G45:I45),0)</f>
        <v>0</v>
      </c>
      <c r="AI45" s="153">
        <f>IF(J$36&gt;=$F45,$AD45-SUM($G45:J45),0)</f>
        <v>0</v>
      </c>
      <c r="AJ45" s="153">
        <f>IF(K$36&gt;=$F45,$AD45-SUM($G45:K45),0)</f>
        <v>0</v>
      </c>
      <c r="AK45" s="153">
        <f>IF(L$36&gt;=$F45,$AD45-SUM($G45:L45),0)</f>
        <v>0</v>
      </c>
      <c r="AL45" s="153">
        <f>IF(M$36&gt;=$F45,$AD45-SUM($G45:M45),0)</f>
        <v>0</v>
      </c>
      <c r="AM45" s="153">
        <f>IF(N$36&gt;=$F45,$AD45-SUM($G45:N45),0)</f>
        <v>0</v>
      </c>
      <c r="AN45" s="153">
        <f ca="1">IF(O$36&gt;=$F45,$AD45-SUM($G45:O45),0)</f>
        <v>39.220956543511697</v>
      </c>
      <c r="AO45" s="153">
        <f ca="1">IF(P$36&gt;=$F45,$AD45-SUM($G45:P45),0)</f>
        <v>39.220956543511697</v>
      </c>
      <c r="AP45" s="153">
        <f ca="1">IF(Q$36&gt;=$F45,$AD45-SUM($G45:Q45),0)</f>
        <v>34.708701848033265</v>
      </c>
      <c r="AQ45" s="153">
        <f ca="1">IF(R$36&gt;=$F45,$AD45-SUM($G45:R45),0)</f>
        <v>24.595616963324321</v>
      </c>
      <c r="AR45" s="153">
        <f ca="1">IF(S$36&gt;=$F45,$AD45-SUM($G45:S45),0)</f>
        <v>13.957567191767652</v>
      </c>
      <c r="AS45" s="153">
        <f ca="1">IF(T$36&gt;=$F45,$AD45-SUM($G45:T45),0)</f>
        <v>6.3446490482861222</v>
      </c>
      <c r="AT45" s="153">
        <f ca="1">IF(U$36&gt;=$F45,$AD45-SUM($G45:U45),0)</f>
        <v>2.3124649179491001</v>
      </c>
      <c r="AU45" s="153">
        <f ca="1">IF(V$36&gt;=$F45,$AD45-SUM($G45:V45),0)</f>
        <v>0.6786614755091378</v>
      </c>
      <c r="AV45" s="153">
        <f ca="1">IF(W$36&gt;=$F45,$AD45-SUM($G45:W45),0)</f>
        <v>0.16383913327242539</v>
      </c>
      <c r="AW45" s="153">
        <f ca="1">IF(X$36&gt;=$F45,$AD45-SUM($G45:X45),0)</f>
        <v>6.9553070983801035E-3</v>
      </c>
      <c r="AX45" s="153">
        <f ca="1">IF(Y$36&gt;=$F45,$AD45-SUM($G45:Y45),0)</f>
        <v>6.9553070983801035E-3</v>
      </c>
      <c r="AY45" s="153">
        <f ca="1">IF(Z$36&gt;=$F45,$AD45-SUM($G45:Z45),0)</f>
        <v>6.9553070983801035E-3</v>
      </c>
      <c r="AZ45" s="154">
        <f ca="1">IF(AA$36&gt;=$F45,$AD45-SUM($G45:AA45),0)</f>
        <v>6.9553070983801035E-3</v>
      </c>
    </row>
    <row r="46" spans="2:52" x14ac:dyDescent="0.3">
      <c r="B46" s="147">
        <f t="shared" si="7"/>
        <v>155.13282159785163</v>
      </c>
      <c r="C46" s="175">
        <f t="shared" si="8"/>
        <v>7.3872772189453144</v>
      </c>
      <c r="D46" s="177">
        <f t="shared" ca="1" si="5"/>
        <v>376.36709128909081</v>
      </c>
      <c r="E46" s="170" cm="1">
        <f t="array" aca="1" ref="E46" ca="1">INDEX($G$58:$AA$58, 0, MATCH(F46,$G$36:$AA$36,0))+C46</f>
        <v>41.407458274155232</v>
      </c>
      <c r="F46" s="157">
        <v>2170</v>
      </c>
      <c r="G46" s="152">
        <f t="shared" si="3"/>
        <v>0</v>
      </c>
      <c r="H46" s="153">
        <f t="shared" si="3"/>
        <v>0</v>
      </c>
      <c r="I46" s="153">
        <f t="shared" si="3"/>
        <v>0</v>
      </c>
      <c r="J46" s="153">
        <f t="shared" si="3"/>
        <v>0</v>
      </c>
      <c r="K46" s="153">
        <f t="shared" si="3"/>
        <v>0</v>
      </c>
      <c r="L46" s="153">
        <f t="shared" si="3"/>
        <v>0</v>
      </c>
      <c r="M46" s="153">
        <f t="shared" si="3"/>
        <v>0</v>
      </c>
      <c r="N46" s="153">
        <f t="shared" si="3"/>
        <v>0</v>
      </c>
      <c r="O46" s="153">
        <f t="shared" si="3"/>
        <v>0</v>
      </c>
      <c r="P46" s="153">
        <f t="shared" ref="P46:AA46" ca="1" si="16">IF(P$36&gt;=$F46,$E46*INDEX($F$8:$Z$8,MATCH(P$67-$F46,$F$6:$Z$6,0)),0)</f>
        <v>0</v>
      </c>
      <c r="Q46" s="153">
        <f t="shared" ca="1" si="16"/>
        <v>0</v>
      </c>
      <c r="R46" s="153">
        <f t="shared" ca="1" si="16"/>
        <v>4.7638052330035112</v>
      </c>
      <c r="S46" s="153">
        <f t="shared" ca="1" si="16"/>
        <v>10.676872195149208</v>
      </c>
      <c r="T46" s="153">
        <f t="shared" ca="1" si="16"/>
        <v>11.231102983055374</v>
      </c>
      <c r="U46" s="153">
        <f t="shared" ca="1" si="16"/>
        <v>8.0373254033479054</v>
      </c>
      <c r="V46" s="153">
        <f t="shared" ca="1" si="16"/>
        <v>4.256971549008834</v>
      </c>
      <c r="W46" s="153">
        <f t="shared" ca="1" si="16"/>
        <v>1.7248852101796943</v>
      </c>
      <c r="X46" s="153">
        <f t="shared" ca="1" si="16"/>
        <v>0.54352281365499178</v>
      </c>
      <c r="Y46" s="153">
        <f t="shared" ca="1" si="16"/>
        <v>0.16562983309662094</v>
      </c>
      <c r="Z46" s="153">
        <f t="shared" ca="1" si="16"/>
        <v>0</v>
      </c>
      <c r="AA46" s="154">
        <f t="shared" ca="1" si="16"/>
        <v>0</v>
      </c>
      <c r="AD46" s="170">
        <f ca="1"/>
        <v>41.407458274155232</v>
      </c>
      <c r="AE46" s="157">
        <v>2170</v>
      </c>
      <c r="AF46" s="152">
        <f>IF(G$36&gt;=$F46,$AD46-SUM($G46:G46),0)</f>
        <v>0</v>
      </c>
      <c r="AG46" s="153">
        <f>IF(H$36&gt;=$F46,$AD46-SUM($G46:H46),0)</f>
        <v>0</v>
      </c>
      <c r="AH46" s="153">
        <f>IF(I$36&gt;=$F46,$AD46-SUM($G46:I46),0)</f>
        <v>0</v>
      </c>
      <c r="AI46" s="153">
        <f>IF(J$36&gt;=$F46,$AD46-SUM($G46:J46),0)</f>
        <v>0</v>
      </c>
      <c r="AJ46" s="153">
        <f>IF(K$36&gt;=$F46,$AD46-SUM($G46:K46),0)</f>
        <v>0</v>
      </c>
      <c r="AK46" s="153">
        <f>IF(L$36&gt;=$F46,$AD46-SUM($G46:L46),0)</f>
        <v>0</v>
      </c>
      <c r="AL46" s="153">
        <f>IF(M$36&gt;=$F46,$AD46-SUM($G46:M46),0)</f>
        <v>0</v>
      </c>
      <c r="AM46" s="153">
        <f>IF(N$36&gt;=$F46,$AD46-SUM($G46:N46),0)</f>
        <v>0</v>
      </c>
      <c r="AN46" s="153">
        <f>IF(O$36&gt;=$F46,$AD46-SUM($G46:O46),0)</f>
        <v>0</v>
      </c>
      <c r="AO46" s="153">
        <f ca="1">IF(P$36&gt;=$F46,$AD46-SUM($G46:P46),0)</f>
        <v>41.407458274155232</v>
      </c>
      <c r="AP46" s="153">
        <f ca="1">IF(Q$36&gt;=$F46,$AD46-SUM($G46:Q46),0)</f>
        <v>41.407458274155232</v>
      </c>
      <c r="AQ46" s="153">
        <f ca="1">IF(R$36&gt;=$F46,$AD46-SUM($G46:R46),0)</f>
        <v>36.643653041151723</v>
      </c>
      <c r="AR46" s="153">
        <f ca="1">IF(S$36&gt;=$F46,$AD46-SUM($G46:S46),0)</f>
        <v>25.966780846002514</v>
      </c>
      <c r="AS46" s="153">
        <f ca="1">IF(T$36&gt;=$F46,$AD46-SUM($G46:T46),0)</f>
        <v>14.735677862947139</v>
      </c>
      <c r="AT46" s="153">
        <f ca="1">IF(U$36&gt;=$F46,$AD46-SUM($G46:U46),0)</f>
        <v>6.698352459599235</v>
      </c>
      <c r="AU46" s="153">
        <f ca="1">IF(V$36&gt;=$F46,$AD46-SUM($G46:V46),0)</f>
        <v>2.4413809105904036</v>
      </c>
      <c r="AV46" s="153">
        <f ca="1">IF(W$36&gt;=$F46,$AD46-SUM($G46:W46),0)</f>
        <v>0.71649570041071087</v>
      </c>
      <c r="AW46" s="153">
        <f ca="1">IF(X$36&gt;=$F46,$AD46-SUM($G46:X46),0)</f>
        <v>0.17297288675571565</v>
      </c>
      <c r="AX46" s="153">
        <f ca="1">IF(Y$36&gt;=$F46,$AD46-SUM($G46:Y46),0)</f>
        <v>7.343053659091936E-3</v>
      </c>
      <c r="AY46" s="153">
        <f ca="1">IF(Z$36&gt;=$F46,$AD46-SUM($G46:Z46),0)</f>
        <v>7.343053659091936E-3</v>
      </c>
      <c r="AZ46" s="154">
        <f ca="1">IF(AA$36&gt;=$F46,$AD46-SUM($G46:AA46),0)</f>
        <v>7.343053659091936E-3</v>
      </c>
    </row>
    <row r="47" spans="2:52" x14ac:dyDescent="0.3">
      <c r="B47" s="147">
        <f t="shared" si="7"/>
        <v>162.88946267774421</v>
      </c>
      <c r="C47" s="175">
        <f t="shared" si="8"/>
        <v>7.7566410798925745</v>
      </c>
      <c r="D47" s="177">
        <f t="shared" ca="1" si="5"/>
        <v>419.48760531159775</v>
      </c>
      <c r="E47" s="170" cm="1">
        <f t="array" aca="1" ref="E47" ca="1">INDEX($G$58:$AA$58, 0, MATCH(F47,$G$36:$AA$36,0))+C47</f>
        <v>43.120514022506931</v>
      </c>
      <c r="F47" s="157">
        <v>2180</v>
      </c>
      <c r="G47" s="152">
        <f t="shared" ref="G47:P57" si="17">IF(G$36&gt;=$F47,$E47*INDEX($F$8:$Z$8,MATCH(G$67-$F47,$F$6:$Z$6,0)),0)</f>
        <v>0</v>
      </c>
      <c r="H47" s="153">
        <f t="shared" si="17"/>
        <v>0</v>
      </c>
      <c r="I47" s="153">
        <f t="shared" si="17"/>
        <v>0</v>
      </c>
      <c r="J47" s="153">
        <f t="shared" si="17"/>
        <v>0</v>
      </c>
      <c r="K47" s="153">
        <f t="shared" si="17"/>
        <v>0</v>
      </c>
      <c r="L47" s="153">
        <f t="shared" si="17"/>
        <v>0</v>
      </c>
      <c r="M47" s="153">
        <f t="shared" si="17"/>
        <v>0</v>
      </c>
      <c r="N47" s="153">
        <f t="shared" si="17"/>
        <v>0</v>
      </c>
      <c r="O47" s="153">
        <f t="shared" si="17"/>
        <v>0</v>
      </c>
      <c r="P47" s="153">
        <f t="shared" si="17"/>
        <v>0</v>
      </c>
      <c r="Q47" s="153">
        <f t="shared" ref="Q47:AA47" ca="1" si="18">IF(Q$36&gt;=$F47,$E47*INDEX($F$8:$Z$8,MATCH(Q$67-$F47,$F$6:$Z$6,0)),0)</f>
        <v>0</v>
      </c>
      <c r="R47" s="153">
        <f t="shared" ca="1" si="18"/>
        <v>0</v>
      </c>
      <c r="S47" s="153">
        <f t="shared" ca="1" si="18"/>
        <v>4.9608872148144574</v>
      </c>
      <c r="T47" s="153">
        <f t="shared" ca="1" si="18"/>
        <v>11.118581926937615</v>
      </c>
      <c r="U47" s="153">
        <f t="shared" ca="1" si="18"/>
        <v>11.695741633369764</v>
      </c>
      <c r="V47" s="153">
        <f t="shared" ca="1" si="18"/>
        <v>8.3698352230141833</v>
      </c>
      <c r="W47" s="153">
        <f t="shared" ca="1" si="18"/>
        <v>4.4330854639059201</v>
      </c>
      <c r="X47" s="153">
        <f t="shared" ca="1" si="18"/>
        <v>1.7962449276726522</v>
      </c>
      <c r="Y47" s="153">
        <f t="shared" ca="1" si="18"/>
        <v>0.56600873573519628</v>
      </c>
      <c r="Z47" s="153">
        <f t="shared" ca="1" si="18"/>
        <v>0.17248205609002773</v>
      </c>
      <c r="AA47" s="154">
        <f t="shared" ca="1" si="18"/>
        <v>0</v>
      </c>
      <c r="AD47" s="170">
        <f ca="1"/>
        <v>43.120514022506931</v>
      </c>
      <c r="AE47" s="157">
        <v>2180</v>
      </c>
      <c r="AF47" s="152">
        <f>IF(G$36&gt;=$F47,$AD47-SUM($G47:G47),0)</f>
        <v>0</v>
      </c>
      <c r="AG47" s="153">
        <f>IF(H$36&gt;=$F47,$AD47-SUM($G47:H47),0)</f>
        <v>0</v>
      </c>
      <c r="AH47" s="153">
        <f>IF(I$36&gt;=$F47,$AD47-SUM($G47:I47),0)</f>
        <v>0</v>
      </c>
      <c r="AI47" s="153">
        <f>IF(J$36&gt;=$F47,$AD47-SUM($G47:J47),0)</f>
        <v>0</v>
      </c>
      <c r="AJ47" s="153">
        <f>IF(K$36&gt;=$F47,$AD47-SUM($G47:K47),0)</f>
        <v>0</v>
      </c>
      <c r="AK47" s="153">
        <f>IF(L$36&gt;=$F47,$AD47-SUM($G47:L47),0)</f>
        <v>0</v>
      </c>
      <c r="AL47" s="153">
        <f>IF(M$36&gt;=$F47,$AD47-SUM($G47:M47),0)</f>
        <v>0</v>
      </c>
      <c r="AM47" s="153">
        <f>IF(N$36&gt;=$F47,$AD47-SUM($G47:N47),0)</f>
        <v>0</v>
      </c>
      <c r="AN47" s="153">
        <f>IF(O$36&gt;=$F47,$AD47-SUM($G47:O47),0)</f>
        <v>0</v>
      </c>
      <c r="AO47" s="153">
        <f>IF(P$36&gt;=$F47,$AD47-SUM($G47:P47),0)</f>
        <v>0</v>
      </c>
      <c r="AP47" s="153">
        <f ca="1">IF(Q$36&gt;=$F47,$AD47-SUM($G47:Q47),0)</f>
        <v>43.120514022506931</v>
      </c>
      <c r="AQ47" s="153">
        <f ca="1">IF(R$36&gt;=$F47,$AD47-SUM($G47:R47),0)</f>
        <v>43.120514022506931</v>
      </c>
      <c r="AR47" s="153">
        <f ca="1">IF(S$36&gt;=$F47,$AD47-SUM($G47:S47),0)</f>
        <v>38.159626807692476</v>
      </c>
      <c r="AS47" s="153">
        <f ca="1">IF(T$36&gt;=$F47,$AD47-SUM($G47:T47),0)</f>
        <v>27.04104488075486</v>
      </c>
      <c r="AT47" s="153">
        <f ca="1">IF(U$36&gt;=$F47,$AD47-SUM($G47:U47),0)</f>
        <v>15.345303247385097</v>
      </c>
      <c r="AU47" s="153">
        <f ca="1">IF(V$36&gt;=$F47,$AD47-SUM($G47:V47),0)</f>
        <v>6.9754680243709117</v>
      </c>
      <c r="AV47" s="153">
        <f ca="1">IF(W$36&gt;=$F47,$AD47-SUM($G47:W47),0)</f>
        <v>2.5423825604649934</v>
      </c>
      <c r="AW47" s="153">
        <f ca="1">IF(X$36&gt;=$F47,$AD47-SUM($G47:X47),0)</f>
        <v>0.74613763279234036</v>
      </c>
      <c r="AX47" s="153">
        <f ca="1">IF(Y$36&gt;=$F47,$AD47-SUM($G47:Y47),0)</f>
        <v>0.18012889705714485</v>
      </c>
      <c r="AY47" s="153">
        <f ca="1">IF(Z$36&gt;=$F47,$AD47-SUM($G47:Z47),0)</f>
        <v>7.6468409671193172E-3</v>
      </c>
      <c r="AZ47" s="154">
        <f ca="1">IF(AA$36&gt;=$F47,$AD47-SUM($G47:AA47),0)</f>
        <v>7.6468409671193172E-3</v>
      </c>
    </row>
    <row r="48" spans="2:52" x14ac:dyDescent="0.3">
      <c r="B48" s="147">
        <f t="shared" si="7"/>
        <v>171.03393581163144</v>
      </c>
      <c r="C48" s="175">
        <f t="shared" si="8"/>
        <v>8.1444731338872316</v>
      </c>
      <c r="D48" s="177">
        <f t="shared" ca="1" si="5"/>
        <v>464.71401464758594</v>
      </c>
      <c r="E48" s="170" cm="1">
        <f t="array" aca="1" ref="E48" ca="1">INDEX($G$58:$AA$58, 0, MATCH(F48,$G$36:$AA$36,0))+C48</f>
        <v>45.226409335988222</v>
      </c>
      <c r="F48" s="157">
        <v>2190</v>
      </c>
      <c r="G48" s="152">
        <f t="shared" si="17"/>
        <v>0</v>
      </c>
      <c r="H48" s="153">
        <f t="shared" si="17"/>
        <v>0</v>
      </c>
      <c r="I48" s="153">
        <f t="shared" si="17"/>
        <v>0</v>
      </c>
      <c r="J48" s="153">
        <f t="shared" si="17"/>
        <v>0</v>
      </c>
      <c r="K48" s="153">
        <f t="shared" si="17"/>
        <v>0</v>
      </c>
      <c r="L48" s="153">
        <f t="shared" si="17"/>
        <v>0</v>
      </c>
      <c r="M48" s="153">
        <f t="shared" si="17"/>
        <v>0</v>
      </c>
      <c r="N48" s="153">
        <f t="shared" si="17"/>
        <v>0</v>
      </c>
      <c r="O48" s="153">
        <f t="shared" si="17"/>
        <v>0</v>
      </c>
      <c r="P48" s="153">
        <f t="shared" si="17"/>
        <v>0</v>
      </c>
      <c r="Q48" s="153">
        <f t="shared" ref="Q48:Z57" si="19">IF(Q$36&gt;=$F48,$E48*INDEX($F$8:$Z$8,MATCH(Q$67-$F48,$F$6:$Z$6,0)),0)</f>
        <v>0</v>
      </c>
      <c r="R48" s="153">
        <f t="shared" ref="R48:AA48" ca="1" si="20">IF(R$36&gt;=$F48,$E48*INDEX($F$8:$Z$8,MATCH(R$67-$F48,$F$6:$Z$6,0)),0)</f>
        <v>0</v>
      </c>
      <c r="S48" s="153">
        <f t="shared" ca="1" si="20"/>
        <v>0</v>
      </c>
      <c r="T48" s="153">
        <f t="shared" ca="1" si="20"/>
        <v>5.2031642231760484</v>
      </c>
      <c r="U48" s="153">
        <f t="shared" ca="1" si="20"/>
        <v>11.661584952371737</v>
      </c>
      <c r="V48" s="153">
        <f t="shared" ca="1" si="20"/>
        <v>12.266931658621914</v>
      </c>
      <c r="W48" s="153">
        <f t="shared" ca="1" si="20"/>
        <v>8.7785965091518268</v>
      </c>
      <c r="X48" s="153">
        <f t="shared" ca="1" si="20"/>
        <v>4.6495859884086839</v>
      </c>
      <c r="Y48" s="153">
        <f t="shared" ca="1" si="20"/>
        <v>1.8839689231026691</v>
      </c>
      <c r="Z48" s="153">
        <f t="shared" ca="1" si="20"/>
        <v>0.59365115074333086</v>
      </c>
      <c r="AA48" s="154">
        <f t="shared" ca="1" si="20"/>
        <v>0.1809056373439529</v>
      </c>
      <c r="AD48" s="170">
        <f ca="1"/>
        <v>45.226409335988222</v>
      </c>
      <c r="AE48" s="157">
        <v>2190</v>
      </c>
      <c r="AF48" s="152">
        <f>IF(G$36&gt;=$F48,$AD48-SUM($G48:G48),0)</f>
        <v>0</v>
      </c>
      <c r="AG48" s="153">
        <f>IF(H$36&gt;=$F48,$AD48-SUM($G48:H48),0)</f>
        <v>0</v>
      </c>
      <c r="AH48" s="153">
        <f>IF(I$36&gt;=$F48,$AD48-SUM($G48:I48),0)</f>
        <v>0</v>
      </c>
      <c r="AI48" s="153">
        <f>IF(J$36&gt;=$F48,$AD48-SUM($G48:J48),0)</f>
        <v>0</v>
      </c>
      <c r="AJ48" s="153">
        <f>IF(K$36&gt;=$F48,$AD48-SUM($G48:K48),0)</f>
        <v>0</v>
      </c>
      <c r="AK48" s="153">
        <f>IF(L$36&gt;=$F48,$AD48-SUM($G48:L48),0)</f>
        <v>0</v>
      </c>
      <c r="AL48" s="153">
        <f>IF(M$36&gt;=$F48,$AD48-SUM($G48:M48),0)</f>
        <v>0</v>
      </c>
      <c r="AM48" s="153">
        <f>IF(N$36&gt;=$F48,$AD48-SUM($G48:N48),0)</f>
        <v>0</v>
      </c>
      <c r="AN48" s="153">
        <f>IF(O$36&gt;=$F48,$AD48-SUM($G48:O48),0)</f>
        <v>0</v>
      </c>
      <c r="AO48" s="153">
        <f>IF(P$36&gt;=$F48,$AD48-SUM($G48:P48),0)</f>
        <v>0</v>
      </c>
      <c r="AP48" s="153">
        <f>IF(Q$36&gt;=$F48,$AD48-SUM($G48:Q48),0)</f>
        <v>0</v>
      </c>
      <c r="AQ48" s="153">
        <f ca="1">IF(R$36&gt;=$F48,$AD48-SUM($G48:R48),0)</f>
        <v>45.226409335988222</v>
      </c>
      <c r="AR48" s="153">
        <f ca="1">IF(S$36&gt;=$F48,$AD48-SUM($G48:S48),0)</f>
        <v>45.226409335988222</v>
      </c>
      <c r="AS48" s="153">
        <f ca="1">IF(T$36&gt;=$F48,$AD48-SUM($G48:T48),0)</f>
        <v>40.023245112812177</v>
      </c>
      <c r="AT48" s="153">
        <f ca="1">IF(U$36&gt;=$F48,$AD48-SUM($G48:U48),0)</f>
        <v>28.361660160440437</v>
      </c>
      <c r="AU48" s="153">
        <f ca="1">IF(V$36&gt;=$F48,$AD48-SUM($G48:V48),0)</f>
        <v>16.094728501818523</v>
      </c>
      <c r="AV48" s="153">
        <f ca="1">IF(W$36&gt;=$F48,$AD48-SUM($G48:W48),0)</f>
        <v>7.3161319926666977</v>
      </c>
      <c r="AW48" s="153">
        <f ca="1">IF(X$36&gt;=$F48,$AD48-SUM($G48:X48),0)</f>
        <v>2.6665460042580165</v>
      </c>
      <c r="AX48" s="153">
        <f ca="1">IF(Y$36&gt;=$F48,$AD48-SUM($G48:Y48),0)</f>
        <v>0.78257708115534541</v>
      </c>
      <c r="AY48" s="153">
        <f ca="1">IF(Z$36&gt;=$F48,$AD48-SUM($G48:Z48),0)</f>
        <v>0.18892593041201167</v>
      </c>
      <c r="AZ48" s="154">
        <f ca="1">IF(AA$36&gt;=$F48,$AD48-SUM($G48:AA48),0)</f>
        <v>8.0202930680570717E-3</v>
      </c>
    </row>
    <row r="49" spans="2:52" x14ac:dyDescent="0.3">
      <c r="B49" s="147">
        <f t="shared" si="7"/>
        <v>179.58563260221302</v>
      </c>
      <c r="C49" s="175">
        <f t="shared" si="8"/>
        <v>8.5516967905815875</v>
      </c>
      <c r="D49" s="177">
        <f t="shared" ca="1" si="5"/>
        <v>512.25054312039276</v>
      </c>
      <c r="E49" s="170" cm="1">
        <f t="array" aca="1" ref="E49" ca="1">INDEX($G$58:$AA$58, 0, MATCH(F49,$G$36:$AA$36,0))+C49</f>
        <v>47.536528472806872</v>
      </c>
      <c r="F49" s="157">
        <v>2200</v>
      </c>
      <c r="G49" s="152">
        <f t="shared" si="17"/>
        <v>0</v>
      </c>
      <c r="H49" s="153">
        <f t="shared" si="17"/>
        <v>0</v>
      </c>
      <c r="I49" s="153">
        <f t="shared" si="17"/>
        <v>0</v>
      </c>
      <c r="J49" s="153">
        <f t="shared" si="17"/>
        <v>0</v>
      </c>
      <c r="K49" s="153">
        <f t="shared" si="17"/>
        <v>0</v>
      </c>
      <c r="L49" s="153">
        <f t="shared" si="17"/>
        <v>0</v>
      </c>
      <c r="M49" s="153">
        <f t="shared" si="17"/>
        <v>0</v>
      </c>
      <c r="N49" s="153">
        <f t="shared" si="17"/>
        <v>0</v>
      </c>
      <c r="O49" s="153">
        <f t="shared" si="17"/>
        <v>0</v>
      </c>
      <c r="P49" s="153">
        <f t="shared" si="17"/>
        <v>0</v>
      </c>
      <c r="Q49" s="153">
        <f t="shared" si="19"/>
        <v>0</v>
      </c>
      <c r="R49" s="153">
        <f t="shared" si="19"/>
        <v>0</v>
      </c>
      <c r="S49" s="153">
        <f t="shared" ref="S49:AA49" ca="1" si="21">IF(S$36&gt;=$F49,$E49*INDEX($F$8:$Z$8,MATCH(S$67-$F49,$F$6:$Z$6,0)),0)</f>
        <v>0</v>
      </c>
      <c r="T49" s="153">
        <f t="shared" ca="1" si="21"/>
        <v>0</v>
      </c>
      <c r="U49" s="153">
        <f t="shared" ca="1" si="21"/>
        <v>5.4689365765519877</v>
      </c>
      <c r="V49" s="153">
        <f t="shared" ca="1" si="21"/>
        <v>12.25724688882959</v>
      </c>
      <c r="W49" s="153">
        <f t="shared" ca="1" si="21"/>
        <v>12.89351409111406</v>
      </c>
      <c r="X49" s="153">
        <f t="shared" ca="1" si="21"/>
        <v>9.226998318801213</v>
      </c>
      <c r="Y49" s="153">
        <f t="shared" ca="1" si="21"/>
        <v>4.8870821267890454</v>
      </c>
      <c r="Z49" s="153">
        <f t="shared" ca="1" si="21"/>
        <v>1.9802001456633314</v>
      </c>
      <c r="AA49" s="154">
        <f t="shared" ca="1" si="21"/>
        <v>0.62397424965968251</v>
      </c>
      <c r="AD49" s="170">
        <f ca="1"/>
        <v>47.536528472806872</v>
      </c>
      <c r="AE49" s="157">
        <v>2200</v>
      </c>
      <c r="AF49" s="152">
        <f>IF(G$36&gt;=$F49,$AD49-SUM($G49:G49),0)</f>
        <v>0</v>
      </c>
      <c r="AG49" s="153">
        <f>IF(H$36&gt;=$F49,$AD49-SUM($G49:H49),0)</f>
        <v>0</v>
      </c>
      <c r="AH49" s="153">
        <f>IF(I$36&gt;=$F49,$AD49-SUM($G49:I49),0)</f>
        <v>0</v>
      </c>
      <c r="AI49" s="153">
        <f>IF(J$36&gt;=$F49,$AD49-SUM($G49:J49),0)</f>
        <v>0</v>
      </c>
      <c r="AJ49" s="153">
        <f>IF(K$36&gt;=$F49,$AD49-SUM($G49:K49),0)</f>
        <v>0</v>
      </c>
      <c r="AK49" s="153">
        <f>IF(L$36&gt;=$F49,$AD49-SUM($G49:L49),0)</f>
        <v>0</v>
      </c>
      <c r="AL49" s="153">
        <f>IF(M$36&gt;=$F49,$AD49-SUM($G49:M49),0)</f>
        <v>0</v>
      </c>
      <c r="AM49" s="153">
        <f>IF(N$36&gt;=$F49,$AD49-SUM($G49:N49),0)</f>
        <v>0</v>
      </c>
      <c r="AN49" s="153">
        <f>IF(O$36&gt;=$F49,$AD49-SUM($G49:O49),0)</f>
        <v>0</v>
      </c>
      <c r="AO49" s="153">
        <f>IF(P$36&gt;=$F49,$AD49-SUM($G49:P49),0)</f>
        <v>0</v>
      </c>
      <c r="AP49" s="153">
        <f>IF(Q$36&gt;=$F49,$AD49-SUM($G49:Q49),0)</f>
        <v>0</v>
      </c>
      <c r="AQ49" s="153">
        <f>IF(R$36&gt;=$F49,$AD49-SUM($G49:R49),0)</f>
        <v>0</v>
      </c>
      <c r="AR49" s="153">
        <f ca="1">IF(S$36&gt;=$F49,$AD49-SUM($G49:S49),0)</f>
        <v>47.536528472806872</v>
      </c>
      <c r="AS49" s="153">
        <f ca="1">IF(T$36&gt;=$F49,$AD49-SUM($G49:T49),0)</f>
        <v>47.536528472806872</v>
      </c>
      <c r="AT49" s="153">
        <f ca="1">IF(U$36&gt;=$F49,$AD49-SUM($G49:U49),0)</f>
        <v>42.067591896254882</v>
      </c>
      <c r="AU49" s="153">
        <f ca="1">IF(V$36&gt;=$F49,$AD49-SUM($G49:V49),0)</f>
        <v>29.810345007425294</v>
      </c>
      <c r="AV49" s="153">
        <f ca="1">IF(W$36&gt;=$F49,$AD49-SUM($G49:W49),0)</f>
        <v>16.916830916311234</v>
      </c>
      <c r="AW49" s="153">
        <f ca="1">IF(X$36&gt;=$F49,$AD49-SUM($G49:X49),0)</f>
        <v>7.6898325975100192</v>
      </c>
      <c r="AX49" s="153">
        <f ca="1">IF(Y$36&gt;=$F49,$AD49-SUM($G49:Y49),0)</f>
        <v>2.8027504707209729</v>
      </c>
      <c r="AY49" s="153">
        <f ca="1">IF(Z$36&gt;=$F49,$AD49-SUM($G49:Z49),0)</f>
        <v>0.82255032505764092</v>
      </c>
      <c r="AZ49" s="154">
        <f ca="1">IF(AA$36&gt;=$F49,$AD49-SUM($G49:AA49),0)</f>
        <v>0.19857607539795907</v>
      </c>
    </row>
    <row r="50" spans="2:52" x14ac:dyDescent="0.3">
      <c r="B50" s="147">
        <f t="shared" si="7"/>
        <v>188.56491423232367</v>
      </c>
      <c r="C50" s="175">
        <f t="shared" si="8"/>
        <v>8.9792816301106484</v>
      </c>
      <c r="D50" s="177">
        <f t="shared" ca="1" si="5"/>
        <v>562.19935180930042</v>
      </c>
      <c r="E50" s="170" cm="1">
        <f t="array" aca="1" ref="E50" ca="1">INDEX($G$58:$AA$58, 0, MATCH(F50,$G$36:$AA$36,0))+C50</f>
        <v>49.948808688907704</v>
      </c>
      <c r="F50" s="157">
        <v>2210</v>
      </c>
      <c r="G50" s="152">
        <f t="shared" si="17"/>
        <v>0</v>
      </c>
      <c r="H50" s="153">
        <f t="shared" si="17"/>
        <v>0</v>
      </c>
      <c r="I50" s="153">
        <f t="shared" si="17"/>
        <v>0</v>
      </c>
      <c r="J50" s="153">
        <f t="shared" si="17"/>
        <v>0</v>
      </c>
      <c r="K50" s="153">
        <f t="shared" si="17"/>
        <v>0</v>
      </c>
      <c r="L50" s="153">
        <f t="shared" si="17"/>
        <v>0</v>
      </c>
      <c r="M50" s="153">
        <f t="shared" si="17"/>
        <v>0</v>
      </c>
      <c r="N50" s="153">
        <f t="shared" si="17"/>
        <v>0</v>
      </c>
      <c r="O50" s="153">
        <f t="shared" si="17"/>
        <v>0</v>
      </c>
      <c r="P50" s="153">
        <f t="shared" si="17"/>
        <v>0</v>
      </c>
      <c r="Q50" s="153">
        <f t="shared" si="19"/>
        <v>0</v>
      </c>
      <c r="R50" s="153">
        <f t="shared" si="19"/>
        <v>0</v>
      </c>
      <c r="S50" s="153">
        <f t="shared" si="19"/>
        <v>0</v>
      </c>
      <c r="T50" s="153">
        <f t="shared" ref="T50:AA50" ca="1" si="22">IF(T$36&gt;=$F50,$E50*INDEX($F$8:$Z$8,MATCH(T$67-$F50,$F$6:$Z$6,0)),0)</f>
        <v>0</v>
      </c>
      <c r="U50" s="153">
        <f t="shared" ca="1" si="22"/>
        <v>0</v>
      </c>
      <c r="V50" s="153">
        <f t="shared" ca="1" si="22"/>
        <v>5.7464622590231711</v>
      </c>
      <c r="W50" s="153">
        <f t="shared" ca="1" si="22"/>
        <v>12.879250958619863</v>
      </c>
      <c r="X50" s="153">
        <f t="shared" ca="1" si="22"/>
        <v>13.547806063145716</v>
      </c>
      <c r="Y50" s="153">
        <f t="shared" ca="1" si="22"/>
        <v>9.6952299338038195</v>
      </c>
      <c r="Z50" s="153">
        <f t="shared" ca="1" si="22"/>
        <v>5.1350811268770951</v>
      </c>
      <c r="AA50" s="154">
        <f t="shared" ca="1" si="22"/>
        <v>2.0806870299345754</v>
      </c>
      <c r="AD50" s="170">
        <f ca="1"/>
        <v>49.948808688907704</v>
      </c>
      <c r="AE50" s="157">
        <v>2210</v>
      </c>
      <c r="AF50" s="152">
        <f>IF(G$36&gt;=$F50,$AD50-SUM($G50:G50),0)</f>
        <v>0</v>
      </c>
      <c r="AG50" s="153">
        <f>IF(H$36&gt;=$F50,$AD50-SUM($G50:H50),0)</f>
        <v>0</v>
      </c>
      <c r="AH50" s="153">
        <f>IF(I$36&gt;=$F50,$AD50-SUM($G50:I50),0)</f>
        <v>0</v>
      </c>
      <c r="AI50" s="153">
        <f>IF(J$36&gt;=$F50,$AD50-SUM($G50:J50),0)</f>
        <v>0</v>
      </c>
      <c r="AJ50" s="153">
        <f>IF(K$36&gt;=$F50,$AD50-SUM($G50:K50),0)</f>
        <v>0</v>
      </c>
      <c r="AK50" s="153">
        <f>IF(L$36&gt;=$F50,$AD50-SUM($G50:L50),0)</f>
        <v>0</v>
      </c>
      <c r="AL50" s="153">
        <f>IF(M$36&gt;=$F50,$AD50-SUM($G50:M50),0)</f>
        <v>0</v>
      </c>
      <c r="AM50" s="153">
        <f>IF(N$36&gt;=$F50,$AD50-SUM($G50:N50),0)</f>
        <v>0</v>
      </c>
      <c r="AN50" s="153">
        <f>IF(O$36&gt;=$F50,$AD50-SUM($G50:O50),0)</f>
        <v>0</v>
      </c>
      <c r="AO50" s="153">
        <f>IF(P$36&gt;=$F50,$AD50-SUM($G50:P50),0)</f>
        <v>0</v>
      </c>
      <c r="AP50" s="153">
        <f>IF(Q$36&gt;=$F50,$AD50-SUM($G50:Q50),0)</f>
        <v>0</v>
      </c>
      <c r="AQ50" s="153">
        <f>IF(R$36&gt;=$F50,$AD50-SUM($G50:R50),0)</f>
        <v>0</v>
      </c>
      <c r="AR50" s="153">
        <f>IF(S$36&gt;=$F50,$AD50-SUM($G50:S50),0)</f>
        <v>0</v>
      </c>
      <c r="AS50" s="153">
        <f ca="1">IF(T$36&gt;=$F50,$AD50-SUM($G50:T50),0)</f>
        <v>49.948808688907704</v>
      </c>
      <c r="AT50" s="153">
        <f ca="1">IF(U$36&gt;=$F50,$AD50-SUM($G50:U50),0)</f>
        <v>49.948808688907704</v>
      </c>
      <c r="AU50" s="153">
        <f ca="1">IF(V$36&gt;=$F50,$AD50-SUM($G50:V50),0)</f>
        <v>44.202346429884535</v>
      </c>
      <c r="AV50" s="153">
        <f ca="1">IF(W$36&gt;=$F50,$AD50-SUM($G50:W50),0)</f>
        <v>31.323095471264669</v>
      </c>
      <c r="AW50" s="153">
        <f ca="1">IF(X$36&gt;=$F50,$AD50-SUM($G50:X50),0)</f>
        <v>17.775289408118951</v>
      </c>
      <c r="AX50" s="153">
        <f ca="1">IF(Y$36&gt;=$F50,$AD50-SUM($G50:Y50),0)</f>
        <v>8.080059474315135</v>
      </c>
      <c r="AY50" s="153">
        <f ca="1">IF(Z$36&gt;=$F50,$AD50-SUM($G50:Z50),0)</f>
        <v>2.9449783474380382</v>
      </c>
      <c r="AZ50" s="154">
        <f ca="1">IF(AA$36&gt;=$F50,$AD50-SUM($G50:AA50),0)</f>
        <v>0.864291317503465</v>
      </c>
    </row>
    <row r="51" spans="2:52" x14ac:dyDescent="0.3">
      <c r="B51" s="147">
        <f t="shared" si="7"/>
        <v>197.99315994393987</v>
      </c>
      <c r="C51" s="175">
        <f t="shared" si="8"/>
        <v>9.4282457116161993</v>
      </c>
      <c r="D51" s="177">
        <f t="shared" ca="1" si="5"/>
        <v>614.64085696475809</v>
      </c>
      <c r="E51" s="170" cm="1">
        <f t="array" aca="1" ref="E51" ca="1">INDEX($G$58:$AA$58, 0, MATCH(F51,$G$36:$AA$36,0))+C51</f>
        <v>52.441505155457712</v>
      </c>
      <c r="F51" s="157">
        <v>2220</v>
      </c>
      <c r="G51" s="152">
        <f t="shared" si="17"/>
        <v>0</v>
      </c>
      <c r="H51" s="153">
        <f t="shared" si="17"/>
        <v>0</v>
      </c>
      <c r="I51" s="153">
        <f t="shared" si="17"/>
        <v>0</v>
      </c>
      <c r="J51" s="153">
        <f t="shared" si="17"/>
        <v>0</v>
      </c>
      <c r="K51" s="153">
        <f t="shared" si="17"/>
        <v>0</v>
      </c>
      <c r="L51" s="153">
        <f t="shared" si="17"/>
        <v>0</v>
      </c>
      <c r="M51" s="153">
        <f t="shared" si="17"/>
        <v>0</v>
      </c>
      <c r="N51" s="153">
        <f t="shared" si="17"/>
        <v>0</v>
      </c>
      <c r="O51" s="153">
        <f t="shared" si="17"/>
        <v>0</v>
      </c>
      <c r="P51" s="153">
        <f t="shared" si="17"/>
        <v>0</v>
      </c>
      <c r="Q51" s="153">
        <f t="shared" si="19"/>
        <v>0</v>
      </c>
      <c r="R51" s="153">
        <f t="shared" si="19"/>
        <v>0</v>
      </c>
      <c r="S51" s="153">
        <f t="shared" si="19"/>
        <v>0</v>
      </c>
      <c r="T51" s="153">
        <f t="shared" si="19"/>
        <v>0</v>
      </c>
      <c r="U51" s="153">
        <f t="shared" ref="U51:AA51" ca="1" si="23">IF(U$36&gt;=$F51,$E51*INDEX($F$8:$Z$8,MATCH(U$67-$F51,$F$6:$Z$6,0)),0)</f>
        <v>0</v>
      </c>
      <c r="V51" s="153">
        <f t="shared" ca="1" si="23"/>
        <v>0</v>
      </c>
      <c r="W51" s="153">
        <f t="shared" ca="1" si="23"/>
        <v>6.0332395925416593</v>
      </c>
      <c r="X51" s="153">
        <f t="shared" ca="1" si="23"/>
        <v>13.521990279117251</v>
      </c>
      <c r="Y51" s="153">
        <f t="shared" ca="1" si="23"/>
        <v>14.223909641780368</v>
      </c>
      <c r="Z51" s="153">
        <f t="shared" ca="1" si="23"/>
        <v>10.179070610543516</v>
      </c>
      <c r="AA51" s="154">
        <f t="shared" ca="1" si="23"/>
        <v>5.3913474706879487</v>
      </c>
      <c r="AD51" s="170">
        <f ca="1"/>
        <v>52.441505155457712</v>
      </c>
      <c r="AE51" s="157">
        <v>2220</v>
      </c>
      <c r="AF51" s="152">
        <f>IF(G$36&gt;=$F51,$AD51-SUM($G51:G51),0)</f>
        <v>0</v>
      </c>
      <c r="AG51" s="153">
        <f>IF(H$36&gt;=$F51,$AD51-SUM($G51:H51),0)</f>
        <v>0</v>
      </c>
      <c r="AH51" s="153">
        <f>IF(I$36&gt;=$F51,$AD51-SUM($G51:I51),0)</f>
        <v>0</v>
      </c>
      <c r="AI51" s="153">
        <f>IF(J$36&gt;=$F51,$AD51-SUM($G51:J51),0)</f>
        <v>0</v>
      </c>
      <c r="AJ51" s="153">
        <f>IF(K$36&gt;=$F51,$AD51-SUM($G51:K51),0)</f>
        <v>0</v>
      </c>
      <c r="AK51" s="153">
        <f>IF(L$36&gt;=$F51,$AD51-SUM($G51:L51),0)</f>
        <v>0</v>
      </c>
      <c r="AL51" s="153">
        <f>IF(M$36&gt;=$F51,$AD51-SUM($G51:M51),0)</f>
        <v>0</v>
      </c>
      <c r="AM51" s="153">
        <f>IF(N$36&gt;=$F51,$AD51-SUM($G51:N51),0)</f>
        <v>0</v>
      </c>
      <c r="AN51" s="153">
        <f>IF(O$36&gt;=$F51,$AD51-SUM($G51:O51),0)</f>
        <v>0</v>
      </c>
      <c r="AO51" s="153">
        <f>IF(P$36&gt;=$F51,$AD51-SUM($G51:P51),0)</f>
        <v>0</v>
      </c>
      <c r="AP51" s="153">
        <f>IF(Q$36&gt;=$F51,$AD51-SUM($G51:Q51),0)</f>
        <v>0</v>
      </c>
      <c r="AQ51" s="153">
        <f>IF(R$36&gt;=$F51,$AD51-SUM($G51:R51),0)</f>
        <v>0</v>
      </c>
      <c r="AR51" s="153">
        <f>IF(S$36&gt;=$F51,$AD51-SUM($G51:S51),0)</f>
        <v>0</v>
      </c>
      <c r="AS51" s="153">
        <f>IF(T$36&gt;=$F51,$AD51-SUM($G51:T51),0)</f>
        <v>0</v>
      </c>
      <c r="AT51" s="153">
        <f ca="1">IF(U$36&gt;=$F51,$AD51-SUM($G51:U51),0)</f>
        <v>52.441505155457712</v>
      </c>
      <c r="AU51" s="153">
        <f ca="1">IF(V$36&gt;=$F51,$AD51-SUM($G51:V51),0)</f>
        <v>52.441505155457712</v>
      </c>
      <c r="AV51" s="153">
        <f ca="1">IF(W$36&gt;=$F51,$AD51-SUM($G51:W51),0)</f>
        <v>46.40826556291605</v>
      </c>
      <c r="AW51" s="153">
        <f ca="1">IF(X$36&gt;=$F51,$AD51-SUM($G51:X51),0)</f>
        <v>32.886275283798803</v>
      </c>
      <c r="AX51" s="153">
        <f ca="1">IF(Y$36&gt;=$F51,$AD51-SUM($G51:Y51),0)</f>
        <v>18.662365642018436</v>
      </c>
      <c r="AY51" s="153">
        <f ca="1">IF(Z$36&gt;=$F51,$AD51-SUM($G51:Z51),0)</f>
        <v>8.4832950314749169</v>
      </c>
      <c r="AZ51" s="154">
        <f ca="1">IF(AA$36&gt;=$F51,$AD51-SUM($G51:AA51),0)</f>
        <v>3.09194756078697</v>
      </c>
    </row>
    <row r="52" spans="2:52" x14ac:dyDescent="0.3">
      <c r="B52" s="147">
        <f t="shared" si="7"/>
        <v>207.89281794113688</v>
      </c>
      <c r="C52" s="175">
        <f t="shared" si="8"/>
        <v>9.8996579971970107</v>
      </c>
      <c r="D52" s="177">
        <f t="shared" ca="1" si="5"/>
        <v>669.69039374925535</v>
      </c>
      <c r="E52" s="170" cm="1">
        <f t="array" aca="1" ref="E52" ca="1">INDEX($G$58:$AA$58, 0, MATCH(F52,$G$36:$AA$36,0))+C52</f>
        <v>55.049536784497242</v>
      </c>
      <c r="F52" s="157">
        <v>2230</v>
      </c>
      <c r="G52" s="152">
        <f t="shared" si="17"/>
        <v>0</v>
      </c>
      <c r="H52" s="153">
        <f t="shared" si="17"/>
        <v>0</v>
      </c>
      <c r="I52" s="153">
        <f t="shared" si="17"/>
        <v>0</v>
      </c>
      <c r="J52" s="153">
        <f t="shared" si="17"/>
        <v>0</v>
      </c>
      <c r="K52" s="153">
        <f t="shared" si="17"/>
        <v>0</v>
      </c>
      <c r="L52" s="153">
        <f t="shared" si="17"/>
        <v>0</v>
      </c>
      <c r="M52" s="153">
        <f t="shared" si="17"/>
        <v>0</v>
      </c>
      <c r="N52" s="153">
        <f t="shared" si="17"/>
        <v>0</v>
      </c>
      <c r="O52" s="153">
        <f t="shared" si="17"/>
        <v>0</v>
      </c>
      <c r="P52" s="153">
        <f t="shared" si="17"/>
        <v>0</v>
      </c>
      <c r="Q52" s="153">
        <f t="shared" si="19"/>
        <v>0</v>
      </c>
      <c r="R52" s="153">
        <f t="shared" si="19"/>
        <v>0</v>
      </c>
      <c r="S52" s="153">
        <f t="shared" si="19"/>
        <v>0</v>
      </c>
      <c r="T52" s="153">
        <f t="shared" si="19"/>
        <v>0</v>
      </c>
      <c r="U52" s="153">
        <f t="shared" si="19"/>
        <v>0</v>
      </c>
      <c r="V52" s="153">
        <f t="shared" ref="V52:AA52" ca="1" si="24">IF(V$36&gt;=$F52,$E52*INDEX($F$8:$Z$8,MATCH(V$67-$F52,$F$6:$Z$6,0)),0)</f>
        <v>0</v>
      </c>
      <c r="W52" s="153">
        <f t="shared" ca="1" si="24"/>
        <v>0</v>
      </c>
      <c r="X52" s="153">
        <f t="shared" ca="1" si="24"/>
        <v>6.3332858943455017</v>
      </c>
      <c r="Y52" s="153">
        <f t="shared" ca="1" si="24"/>
        <v>14.194468657282808</v>
      </c>
      <c r="Z52" s="153">
        <f t="shared" ca="1" si="24"/>
        <v>14.931296016835677</v>
      </c>
      <c r="AA52" s="154">
        <f t="shared" ca="1" si="24"/>
        <v>10.685298226013879</v>
      </c>
      <c r="AD52" s="170">
        <f ca="1"/>
        <v>55.049536784497242</v>
      </c>
      <c r="AE52" s="157">
        <v>2230</v>
      </c>
      <c r="AF52" s="152">
        <f>IF(G$36&gt;=$F52,$AD52-SUM($G52:G52),0)</f>
        <v>0</v>
      </c>
      <c r="AG52" s="153">
        <f>IF(H$36&gt;=$F52,$AD52-SUM($G52:H52),0)</f>
        <v>0</v>
      </c>
      <c r="AH52" s="153">
        <f>IF(I$36&gt;=$F52,$AD52-SUM($G52:I52),0)</f>
        <v>0</v>
      </c>
      <c r="AI52" s="153">
        <f>IF(J$36&gt;=$F52,$AD52-SUM($G52:J52),0)</f>
        <v>0</v>
      </c>
      <c r="AJ52" s="153">
        <f>IF(K$36&gt;=$F52,$AD52-SUM($G52:K52),0)</f>
        <v>0</v>
      </c>
      <c r="AK52" s="153">
        <f>IF(L$36&gt;=$F52,$AD52-SUM($G52:L52),0)</f>
        <v>0</v>
      </c>
      <c r="AL52" s="153">
        <f>IF(M$36&gt;=$F52,$AD52-SUM($G52:M52),0)</f>
        <v>0</v>
      </c>
      <c r="AM52" s="153">
        <f>IF(N$36&gt;=$F52,$AD52-SUM($G52:N52),0)</f>
        <v>0</v>
      </c>
      <c r="AN52" s="153">
        <f>IF(O$36&gt;=$F52,$AD52-SUM($G52:O52),0)</f>
        <v>0</v>
      </c>
      <c r="AO52" s="153">
        <f>IF(P$36&gt;=$F52,$AD52-SUM($G52:P52),0)</f>
        <v>0</v>
      </c>
      <c r="AP52" s="153">
        <f>IF(Q$36&gt;=$F52,$AD52-SUM($G52:Q52),0)</f>
        <v>0</v>
      </c>
      <c r="AQ52" s="153">
        <f>IF(R$36&gt;=$F52,$AD52-SUM($G52:R52),0)</f>
        <v>0</v>
      </c>
      <c r="AR52" s="153">
        <f>IF(S$36&gt;=$F52,$AD52-SUM($G52:S52),0)</f>
        <v>0</v>
      </c>
      <c r="AS52" s="153">
        <f>IF(T$36&gt;=$F52,$AD52-SUM($G52:T52),0)</f>
        <v>0</v>
      </c>
      <c r="AT52" s="153">
        <f>IF(U$36&gt;=$F52,$AD52-SUM($G52:U52),0)</f>
        <v>0</v>
      </c>
      <c r="AU52" s="153">
        <f ca="1">IF(V$36&gt;=$F52,$AD52-SUM($G52:V52),0)</f>
        <v>55.049536784497242</v>
      </c>
      <c r="AV52" s="153">
        <f ca="1">IF(W$36&gt;=$F52,$AD52-SUM($G52:W52),0)</f>
        <v>55.049536784497242</v>
      </c>
      <c r="AW52" s="153">
        <f ca="1">IF(X$36&gt;=$F52,$AD52-SUM($G52:X52),0)</f>
        <v>48.716250890151741</v>
      </c>
      <c r="AX52" s="153">
        <f ca="1">IF(Y$36&gt;=$F52,$AD52-SUM($G52:Y52),0)</f>
        <v>34.521782232868929</v>
      </c>
      <c r="AY52" s="153">
        <f ca="1">IF(Z$36&gt;=$F52,$AD52-SUM($G52:Z52),0)</f>
        <v>19.590486216033256</v>
      </c>
      <c r="AZ52" s="154">
        <f ca="1">IF(AA$36&gt;=$F52,$AD52-SUM($G52:AA52),0)</f>
        <v>8.9051879900193782</v>
      </c>
    </row>
    <row r="53" spans="2:52" x14ac:dyDescent="0.3">
      <c r="B53" s="147">
        <f t="shared" si="7"/>
        <v>218.28745883819374</v>
      </c>
      <c r="C53" s="175">
        <f t="shared" si="8"/>
        <v>10.39464089705686</v>
      </c>
      <c r="D53" s="177">
        <f t="shared" ca="1" si="5"/>
        <v>727.48882920431026</v>
      </c>
      <c r="E53" s="170" cm="1">
        <f t="array" aca="1" ref="E53" ca="1">INDEX($G$58:$AA$58, 0, MATCH(F53,$G$36:$AA$36,0))+C53</f>
        <v>57.7984354550549</v>
      </c>
      <c r="F53" s="157">
        <v>2240</v>
      </c>
      <c r="G53" s="152">
        <f t="shared" si="17"/>
        <v>0</v>
      </c>
      <c r="H53" s="153">
        <f t="shared" si="17"/>
        <v>0</v>
      </c>
      <c r="I53" s="153">
        <f t="shared" si="17"/>
        <v>0</v>
      </c>
      <c r="J53" s="153">
        <f t="shared" si="17"/>
        <v>0</v>
      </c>
      <c r="K53" s="153">
        <f t="shared" si="17"/>
        <v>0</v>
      </c>
      <c r="L53" s="153">
        <f t="shared" si="17"/>
        <v>0</v>
      </c>
      <c r="M53" s="153">
        <f t="shared" si="17"/>
        <v>0</v>
      </c>
      <c r="N53" s="153">
        <f t="shared" si="17"/>
        <v>0</v>
      </c>
      <c r="O53" s="153">
        <f t="shared" si="17"/>
        <v>0</v>
      </c>
      <c r="P53" s="153">
        <f t="shared" si="17"/>
        <v>0</v>
      </c>
      <c r="Q53" s="153">
        <f t="shared" si="19"/>
        <v>0</v>
      </c>
      <c r="R53" s="153">
        <f t="shared" si="19"/>
        <v>0</v>
      </c>
      <c r="S53" s="153">
        <f t="shared" si="19"/>
        <v>0</v>
      </c>
      <c r="T53" s="153">
        <f t="shared" si="19"/>
        <v>0</v>
      </c>
      <c r="U53" s="153">
        <f t="shared" si="19"/>
        <v>0</v>
      </c>
      <c r="V53" s="153">
        <f t="shared" si="19"/>
        <v>0</v>
      </c>
      <c r="W53" s="153">
        <f ca="1">IF(W$36&gt;=$F53,$E53*INDEX($F$8:$Z$8,MATCH(W$67-$F53,$F$6:$Z$6,0)),0)</f>
        <v>0</v>
      </c>
      <c r="X53" s="153">
        <f ca="1">IF(X$36&gt;=$F53,$E53*INDEX($F$8:$Z$8,MATCH(X$67-$F53,$F$6:$Z$6,0)),0)</f>
        <v>0</v>
      </c>
      <c r="Y53" s="153">
        <f ca="1">IF(Y$36&gt;=$F53,$E53*INDEX($F$8:$Z$8,MATCH(Y$67-$F53,$F$6:$Z$6,0)),0)</f>
        <v>6.6495385313727891</v>
      </c>
      <c r="Z53" s="153">
        <f ca="1">IF(Z$36&gt;=$F53,$E53*INDEX($F$8:$Z$8,MATCH(Z$67-$F53,$F$6:$Z$6,0)),0)</f>
        <v>14.903269462892228</v>
      </c>
      <c r="AA53" s="154">
        <f ca="1">IF(AA$36&gt;=$F53,$E53*INDEX($F$8:$Z$8,MATCH(AA$67-$F53,$F$6:$Z$6,0)),0)</f>
        <v>15.67689029732999</v>
      </c>
      <c r="AD53" s="170">
        <f ca="1"/>
        <v>57.7984354550549</v>
      </c>
      <c r="AE53" s="157">
        <v>2240</v>
      </c>
      <c r="AF53" s="152">
        <f>IF(G$36&gt;=$F53,$AD53-SUM($G53:G53),0)</f>
        <v>0</v>
      </c>
      <c r="AG53" s="153">
        <f>IF(H$36&gt;=$F53,$AD53-SUM($G53:H53),0)</f>
        <v>0</v>
      </c>
      <c r="AH53" s="153">
        <f>IF(I$36&gt;=$F53,$AD53-SUM($G53:I53),0)</f>
        <v>0</v>
      </c>
      <c r="AI53" s="153">
        <f>IF(J$36&gt;=$F53,$AD53-SUM($G53:J53),0)</f>
        <v>0</v>
      </c>
      <c r="AJ53" s="153">
        <f>IF(K$36&gt;=$F53,$AD53-SUM($G53:K53),0)</f>
        <v>0</v>
      </c>
      <c r="AK53" s="153">
        <f>IF(L$36&gt;=$F53,$AD53-SUM($G53:L53),0)</f>
        <v>0</v>
      </c>
      <c r="AL53" s="153">
        <f>IF(M$36&gt;=$F53,$AD53-SUM($G53:M53),0)</f>
        <v>0</v>
      </c>
      <c r="AM53" s="153">
        <f>IF(N$36&gt;=$F53,$AD53-SUM($G53:N53),0)</f>
        <v>0</v>
      </c>
      <c r="AN53" s="153">
        <f>IF(O$36&gt;=$F53,$AD53-SUM($G53:O53),0)</f>
        <v>0</v>
      </c>
      <c r="AO53" s="153">
        <f>IF(P$36&gt;=$F53,$AD53-SUM($G53:P53),0)</f>
        <v>0</v>
      </c>
      <c r="AP53" s="153">
        <f>IF(Q$36&gt;=$F53,$AD53-SUM($G53:Q53),0)</f>
        <v>0</v>
      </c>
      <c r="AQ53" s="153">
        <f>IF(R$36&gt;=$F53,$AD53-SUM($G53:R53),0)</f>
        <v>0</v>
      </c>
      <c r="AR53" s="153">
        <f>IF(S$36&gt;=$F53,$AD53-SUM($G53:S53),0)</f>
        <v>0</v>
      </c>
      <c r="AS53" s="153">
        <f>IF(T$36&gt;=$F53,$AD53-SUM($G53:T53),0)</f>
        <v>0</v>
      </c>
      <c r="AT53" s="153">
        <f>IF(U$36&gt;=$F53,$AD53-SUM($G53:U53),0)</f>
        <v>0</v>
      </c>
      <c r="AU53" s="153">
        <f>IF(V$36&gt;=$F53,$AD53-SUM($G53:V53),0)</f>
        <v>0</v>
      </c>
      <c r="AV53" s="153">
        <f ca="1">IF(W$36&gt;=$F53,$AD53-SUM($G53:W53),0)</f>
        <v>57.7984354550549</v>
      </c>
      <c r="AW53" s="153">
        <f ca="1">IF(X$36&gt;=$F53,$AD53-SUM($G53:X53),0)</f>
        <v>57.7984354550549</v>
      </c>
      <c r="AX53" s="153">
        <f ca="1">IF(Y$36&gt;=$F53,$AD53-SUM($G53:Y53),0)</f>
        <v>51.148896923682109</v>
      </c>
      <c r="AY53" s="153">
        <f ca="1">IF(Z$36&gt;=$F53,$AD53-SUM($G53:Z53),0)</f>
        <v>36.245627460789883</v>
      </c>
      <c r="AZ53" s="154">
        <f ca="1">IF(AA$36&gt;=$F53,$AD53-SUM($G53:AA53),0)</f>
        <v>20.568737163459893</v>
      </c>
    </row>
    <row r="54" spans="2:52" x14ac:dyDescent="0.3">
      <c r="B54" s="147">
        <f t="shared" si="7"/>
        <v>229.20183178010345</v>
      </c>
      <c r="C54" s="175">
        <f t="shared" si="8"/>
        <v>10.914372941909704</v>
      </c>
      <c r="D54" s="177">
        <f t="shared" ca="1" si="5"/>
        <v>788.17952025754005</v>
      </c>
      <c r="E54" s="170" cm="1">
        <f t="array" aca="1" ref="E54" ca="1">INDEX($G$58:$AA$58, 0, MATCH(F54,$G$36:$AA$36,0))+C54</f>
        <v>60.690691053229763</v>
      </c>
      <c r="F54" s="157">
        <v>2250</v>
      </c>
      <c r="G54" s="152">
        <f t="shared" si="17"/>
        <v>0</v>
      </c>
      <c r="H54" s="153">
        <f t="shared" si="17"/>
        <v>0</v>
      </c>
      <c r="I54" s="153">
        <f t="shared" si="17"/>
        <v>0</v>
      </c>
      <c r="J54" s="153">
        <f t="shared" si="17"/>
        <v>0</v>
      </c>
      <c r="K54" s="153">
        <f t="shared" si="17"/>
        <v>0</v>
      </c>
      <c r="L54" s="153">
        <f t="shared" si="17"/>
        <v>0</v>
      </c>
      <c r="M54" s="153">
        <f t="shared" si="17"/>
        <v>0</v>
      </c>
      <c r="N54" s="153">
        <f t="shared" si="17"/>
        <v>0</v>
      </c>
      <c r="O54" s="153">
        <f t="shared" si="17"/>
        <v>0</v>
      </c>
      <c r="P54" s="153">
        <f t="shared" si="17"/>
        <v>0</v>
      </c>
      <c r="Q54" s="153">
        <f t="shared" si="19"/>
        <v>0</v>
      </c>
      <c r="R54" s="153">
        <f t="shared" si="19"/>
        <v>0</v>
      </c>
      <c r="S54" s="153">
        <f t="shared" si="19"/>
        <v>0</v>
      </c>
      <c r="T54" s="153">
        <f t="shared" si="19"/>
        <v>0</v>
      </c>
      <c r="U54" s="153">
        <f t="shared" si="19"/>
        <v>0</v>
      </c>
      <c r="V54" s="153">
        <f t="shared" si="19"/>
        <v>0</v>
      </c>
      <c r="W54" s="153">
        <f t="shared" si="19"/>
        <v>0</v>
      </c>
      <c r="X54" s="153">
        <f ca="1">IF(X$36&gt;=$F54,$E54*INDEX($F$8:$Z$8,MATCH(X$67-$F54,$F$6:$Z$6,0)),0)</f>
        <v>0</v>
      </c>
      <c r="Y54" s="153">
        <f ca="1">IF(Y$36&gt;=$F54,$E54*INDEX($F$8:$Z$8,MATCH(Y$67-$F54,$F$6:$Z$6,0)),0)</f>
        <v>0</v>
      </c>
      <c r="Z54" s="153">
        <f ca="1">IF(Z$36&gt;=$F54,$E54*INDEX($F$8:$Z$8,MATCH(Z$67-$F54,$F$6:$Z$6,0)),0)</f>
        <v>6.9822839576325997</v>
      </c>
      <c r="AA54" s="154">
        <f ca="1">IF(AA$36&gt;=$F54,$E54*INDEX($F$8:$Z$8,MATCH(AA$67-$F54,$F$6:$Z$6,0)),0)</f>
        <v>15.649034710615535</v>
      </c>
      <c r="AD54" s="170">
        <f ca="1"/>
        <v>60.690691053229763</v>
      </c>
      <c r="AE54" s="157">
        <v>2250</v>
      </c>
      <c r="AF54" s="152">
        <f>IF(G$36&gt;=$F54,$AD54-SUM($G54:G54),0)</f>
        <v>0</v>
      </c>
      <c r="AG54" s="153">
        <f>IF(H$36&gt;=$F54,$AD54-SUM($G54:H54),0)</f>
        <v>0</v>
      </c>
      <c r="AH54" s="153">
        <f>IF(I$36&gt;=$F54,$AD54-SUM($G54:I54),0)</f>
        <v>0</v>
      </c>
      <c r="AI54" s="153">
        <f>IF(J$36&gt;=$F54,$AD54-SUM($G54:J54),0)</f>
        <v>0</v>
      </c>
      <c r="AJ54" s="153">
        <f>IF(K$36&gt;=$F54,$AD54-SUM($G54:K54),0)</f>
        <v>0</v>
      </c>
      <c r="AK54" s="153">
        <f>IF(L$36&gt;=$F54,$AD54-SUM($G54:L54),0)</f>
        <v>0</v>
      </c>
      <c r="AL54" s="153">
        <f>IF(M$36&gt;=$F54,$AD54-SUM($G54:M54),0)</f>
        <v>0</v>
      </c>
      <c r="AM54" s="153">
        <f>IF(N$36&gt;=$F54,$AD54-SUM($G54:N54),0)</f>
        <v>0</v>
      </c>
      <c r="AN54" s="153">
        <f>IF(O$36&gt;=$F54,$AD54-SUM($G54:O54),0)</f>
        <v>0</v>
      </c>
      <c r="AO54" s="153">
        <f>IF(P$36&gt;=$F54,$AD54-SUM($G54:P54),0)</f>
        <v>0</v>
      </c>
      <c r="AP54" s="153">
        <f>IF(Q$36&gt;=$F54,$AD54-SUM($G54:Q54),0)</f>
        <v>0</v>
      </c>
      <c r="AQ54" s="153">
        <f>IF(R$36&gt;=$F54,$AD54-SUM($G54:R54),0)</f>
        <v>0</v>
      </c>
      <c r="AR54" s="153">
        <f>IF(S$36&gt;=$F54,$AD54-SUM($G54:S54),0)</f>
        <v>0</v>
      </c>
      <c r="AS54" s="153">
        <f>IF(T$36&gt;=$F54,$AD54-SUM($G54:T54),0)</f>
        <v>0</v>
      </c>
      <c r="AT54" s="153">
        <f>IF(U$36&gt;=$F54,$AD54-SUM($G54:U54),0)</f>
        <v>0</v>
      </c>
      <c r="AU54" s="153">
        <f>IF(V$36&gt;=$F54,$AD54-SUM($G54:V54),0)</f>
        <v>0</v>
      </c>
      <c r="AV54" s="153">
        <f>IF(W$36&gt;=$F54,$AD54-SUM($G54:W54),0)</f>
        <v>0</v>
      </c>
      <c r="AW54" s="153">
        <f ca="1">IF(X$36&gt;=$F54,$AD54-SUM($G54:X54),0)</f>
        <v>60.690691053229763</v>
      </c>
      <c r="AX54" s="153">
        <f ca="1">IF(Y$36&gt;=$F54,$AD54-SUM($G54:Y54),0)</f>
        <v>60.690691053229763</v>
      </c>
      <c r="AY54" s="153">
        <f ca="1">IF(Z$36&gt;=$F54,$AD54-SUM($G54:Z54),0)</f>
        <v>53.708407095597167</v>
      </c>
      <c r="AZ54" s="154">
        <f ca="1">IF(AA$36&gt;=$F54,$AD54-SUM($G54:AA54),0)</f>
        <v>38.059372384981629</v>
      </c>
    </row>
    <row r="55" spans="2:52" x14ac:dyDescent="0.3">
      <c r="B55" s="147">
        <f t="shared" si="7"/>
        <v>240.66192336910862</v>
      </c>
      <c r="C55" s="175">
        <f t="shared" si="8"/>
        <v>11.460091589005174</v>
      </c>
      <c r="D55" s="177">
        <f t="shared" ca="1" si="5"/>
        <v>851.90544822950858</v>
      </c>
      <c r="E55" s="170" cm="1">
        <f t="array" aca="1" ref="E55" ca="1">INDEX($G$58:$AA$58, 0, MATCH(F55,$G$36:$AA$36,0))+C55</f>
        <v>63.725927971968495</v>
      </c>
      <c r="F55" s="157">
        <v>2260</v>
      </c>
      <c r="G55" s="152">
        <f t="shared" si="17"/>
        <v>0</v>
      </c>
      <c r="H55" s="153">
        <f t="shared" si="17"/>
        <v>0</v>
      </c>
      <c r="I55" s="153">
        <f t="shared" si="17"/>
        <v>0</v>
      </c>
      <c r="J55" s="153">
        <f t="shared" si="17"/>
        <v>0</v>
      </c>
      <c r="K55" s="153">
        <f t="shared" si="17"/>
        <v>0</v>
      </c>
      <c r="L55" s="153">
        <f t="shared" si="17"/>
        <v>0</v>
      </c>
      <c r="M55" s="153">
        <f t="shared" si="17"/>
        <v>0</v>
      </c>
      <c r="N55" s="153">
        <f t="shared" si="17"/>
        <v>0</v>
      </c>
      <c r="O55" s="153">
        <f t="shared" si="17"/>
        <v>0</v>
      </c>
      <c r="P55" s="153">
        <f t="shared" si="17"/>
        <v>0</v>
      </c>
      <c r="Q55" s="153">
        <f t="shared" si="19"/>
        <v>0</v>
      </c>
      <c r="R55" s="153">
        <f t="shared" si="19"/>
        <v>0</v>
      </c>
      <c r="S55" s="153">
        <f t="shared" si="19"/>
        <v>0</v>
      </c>
      <c r="T55" s="153">
        <f t="shared" si="19"/>
        <v>0</v>
      </c>
      <c r="U55" s="153">
        <f t="shared" si="19"/>
        <v>0</v>
      </c>
      <c r="V55" s="153">
        <f t="shared" si="19"/>
        <v>0</v>
      </c>
      <c r="W55" s="153">
        <f t="shared" si="19"/>
        <v>0</v>
      </c>
      <c r="X55" s="153">
        <f t="shared" si="19"/>
        <v>0</v>
      </c>
      <c r="Y55" s="153">
        <f ca="1">IF(Y$36&gt;=$F55,$E55*INDEX($F$8:$Z$8,MATCH(Y$67-$F55,$F$6:$Z$6,0)),0)</f>
        <v>0</v>
      </c>
      <c r="Z55" s="153">
        <f ca="1">IF(Z$36&gt;=$F55,$E55*INDEX($F$8:$Z$8,MATCH(Z$67-$F55,$F$6:$Z$6,0)),0)</f>
        <v>0</v>
      </c>
      <c r="AA55" s="154">
        <f ca="1">IF(AA$36&gt;=$F55,$E55*INDEX($F$8:$Z$8,MATCH(AA$67-$F55,$F$6:$Z$6,0)),0)</f>
        <v>7.3314789606477424</v>
      </c>
      <c r="AD55" s="170">
        <f ca="1"/>
        <v>63.725927971968495</v>
      </c>
      <c r="AE55" s="157">
        <v>2260</v>
      </c>
      <c r="AF55" s="152">
        <f>IF(G$36&gt;=$F55,$AD55-SUM($G55:G55),0)</f>
        <v>0</v>
      </c>
      <c r="AG55" s="153">
        <f>IF(H$36&gt;=$F55,$AD55-SUM($G55:H55),0)</f>
        <v>0</v>
      </c>
      <c r="AH55" s="153">
        <f>IF(I$36&gt;=$F55,$AD55-SUM($G55:I55),0)</f>
        <v>0</v>
      </c>
      <c r="AI55" s="153">
        <f>IF(J$36&gt;=$F55,$AD55-SUM($G55:J55),0)</f>
        <v>0</v>
      </c>
      <c r="AJ55" s="153">
        <f>IF(K$36&gt;=$F55,$AD55-SUM($G55:K55),0)</f>
        <v>0</v>
      </c>
      <c r="AK55" s="153">
        <f>IF(L$36&gt;=$F55,$AD55-SUM($G55:L55),0)</f>
        <v>0</v>
      </c>
      <c r="AL55" s="153">
        <f>IF(M$36&gt;=$F55,$AD55-SUM($G55:M55),0)</f>
        <v>0</v>
      </c>
      <c r="AM55" s="153">
        <f>IF(N$36&gt;=$F55,$AD55-SUM($G55:N55),0)</f>
        <v>0</v>
      </c>
      <c r="AN55" s="153">
        <f>IF(O$36&gt;=$F55,$AD55-SUM($G55:O55),0)</f>
        <v>0</v>
      </c>
      <c r="AO55" s="153">
        <f>IF(P$36&gt;=$F55,$AD55-SUM($G55:P55),0)</f>
        <v>0</v>
      </c>
      <c r="AP55" s="153">
        <f>IF(Q$36&gt;=$F55,$AD55-SUM($G55:Q55),0)</f>
        <v>0</v>
      </c>
      <c r="AQ55" s="153">
        <f>IF(R$36&gt;=$F55,$AD55-SUM($G55:R55),0)</f>
        <v>0</v>
      </c>
      <c r="AR55" s="153">
        <f>IF(S$36&gt;=$F55,$AD55-SUM($G55:S55),0)</f>
        <v>0</v>
      </c>
      <c r="AS55" s="153">
        <f>IF(T$36&gt;=$F55,$AD55-SUM($G55:T55),0)</f>
        <v>0</v>
      </c>
      <c r="AT55" s="153">
        <f>IF(U$36&gt;=$F55,$AD55-SUM($G55:U55),0)</f>
        <v>0</v>
      </c>
      <c r="AU55" s="153">
        <f>IF(V$36&gt;=$F55,$AD55-SUM($G55:V55),0)</f>
        <v>0</v>
      </c>
      <c r="AV55" s="153">
        <f>IF(W$36&gt;=$F55,$AD55-SUM($G55:W55),0)</f>
        <v>0</v>
      </c>
      <c r="AW55" s="153">
        <f>IF(X$36&gt;=$F55,$AD55-SUM($G55:X55),0)</f>
        <v>0</v>
      </c>
      <c r="AX55" s="153">
        <f ca="1">IF(Y$36&gt;=$F55,$AD55-SUM($G55:Y55),0)</f>
        <v>63.725927971968495</v>
      </c>
      <c r="AY55" s="153">
        <f ca="1">IF(Z$36&gt;=$F55,$AD55-SUM($G55:Z55),0)</f>
        <v>63.725927971968495</v>
      </c>
      <c r="AZ55" s="154">
        <f ca="1">IF(AA$36&gt;=$F55,$AD55-SUM($G55:AA55),0)</f>
        <v>56.394449011320752</v>
      </c>
    </row>
    <row r="56" spans="2:52" x14ac:dyDescent="0.3">
      <c r="B56" s="147">
        <f t="shared" si="7"/>
        <v>252.69501953756406</v>
      </c>
      <c r="C56" s="175">
        <f t="shared" si="8"/>
        <v>12.033096168455444</v>
      </c>
      <c r="D56" s="177">
        <f t="shared" ca="1" si="5"/>
        <v>918.8158789252418</v>
      </c>
      <c r="E56" s="170" cm="1">
        <f t="array" aca="1" ref="E56" ca="1">INDEX($G$58:$AA$58, 0, MATCH(F56,$G$36:$AA$36,0))+C56</f>
        <v>66.910430695733254</v>
      </c>
      <c r="F56" s="157">
        <v>2270</v>
      </c>
      <c r="G56" s="152">
        <f t="shared" si="17"/>
        <v>0</v>
      </c>
      <c r="H56" s="153">
        <f t="shared" si="17"/>
        <v>0</v>
      </c>
      <c r="I56" s="153">
        <f t="shared" si="17"/>
        <v>0</v>
      </c>
      <c r="J56" s="153">
        <f t="shared" si="17"/>
        <v>0</v>
      </c>
      <c r="K56" s="153">
        <f t="shared" si="17"/>
        <v>0</v>
      </c>
      <c r="L56" s="153">
        <f t="shared" si="17"/>
        <v>0</v>
      </c>
      <c r="M56" s="153">
        <f t="shared" si="17"/>
        <v>0</v>
      </c>
      <c r="N56" s="153">
        <f t="shared" si="17"/>
        <v>0</v>
      </c>
      <c r="O56" s="153">
        <f t="shared" si="17"/>
        <v>0</v>
      </c>
      <c r="P56" s="153">
        <f t="shared" si="17"/>
        <v>0</v>
      </c>
      <c r="Q56" s="153">
        <f t="shared" si="19"/>
        <v>0</v>
      </c>
      <c r="R56" s="153">
        <f t="shared" si="19"/>
        <v>0</v>
      </c>
      <c r="S56" s="153">
        <f t="shared" si="19"/>
        <v>0</v>
      </c>
      <c r="T56" s="153">
        <f t="shared" si="19"/>
        <v>0</v>
      </c>
      <c r="U56" s="153">
        <f t="shared" si="19"/>
        <v>0</v>
      </c>
      <c r="V56" s="153">
        <f t="shared" si="19"/>
        <v>0</v>
      </c>
      <c r="W56" s="153">
        <f t="shared" si="19"/>
        <v>0</v>
      </c>
      <c r="X56" s="153">
        <f t="shared" si="19"/>
        <v>0</v>
      </c>
      <c r="Y56" s="153">
        <f t="shared" si="19"/>
        <v>0</v>
      </c>
      <c r="Z56" s="153">
        <f ca="1">IF(Z$36&gt;=$F56,$E56*INDEX($F$8:$Z$8,MATCH(Z$67-$F56,$F$6:$Z$6,0)),0)</f>
        <v>0</v>
      </c>
      <c r="AA56" s="154">
        <f ca="1">IF(AA$36&gt;=$F56,$E56*INDEX($F$8:$Z$8,MATCH(AA$67-$F56,$F$6:$Z$6,0)),0)</f>
        <v>0</v>
      </c>
      <c r="AD56" s="170">
        <f ca="1"/>
        <v>66.910430695733254</v>
      </c>
      <c r="AE56" s="157">
        <v>2270</v>
      </c>
      <c r="AF56" s="152">
        <f>IF(G$36&gt;=$F56,$AD56-SUM($G56:G56),0)</f>
        <v>0</v>
      </c>
      <c r="AG56" s="153">
        <f>IF(H$36&gt;=$F56,$AD56-SUM($G56:H56),0)</f>
        <v>0</v>
      </c>
      <c r="AH56" s="153">
        <f>IF(I$36&gt;=$F56,$AD56-SUM($G56:I56),0)</f>
        <v>0</v>
      </c>
      <c r="AI56" s="153">
        <f>IF(J$36&gt;=$F56,$AD56-SUM($G56:J56),0)</f>
        <v>0</v>
      </c>
      <c r="AJ56" s="153">
        <f>IF(K$36&gt;=$F56,$AD56-SUM($G56:K56),0)</f>
        <v>0</v>
      </c>
      <c r="AK56" s="153">
        <f>IF(L$36&gt;=$F56,$AD56-SUM($G56:L56),0)</f>
        <v>0</v>
      </c>
      <c r="AL56" s="153">
        <f>IF(M$36&gt;=$F56,$AD56-SUM($G56:M56),0)</f>
        <v>0</v>
      </c>
      <c r="AM56" s="153">
        <f>IF(N$36&gt;=$F56,$AD56-SUM($G56:N56),0)</f>
        <v>0</v>
      </c>
      <c r="AN56" s="153">
        <f>IF(O$36&gt;=$F56,$AD56-SUM($G56:O56),0)</f>
        <v>0</v>
      </c>
      <c r="AO56" s="153">
        <f>IF(P$36&gt;=$F56,$AD56-SUM($G56:P56),0)</f>
        <v>0</v>
      </c>
      <c r="AP56" s="153">
        <f>IF(Q$36&gt;=$F56,$AD56-SUM($G56:Q56),0)</f>
        <v>0</v>
      </c>
      <c r="AQ56" s="153">
        <f>IF(R$36&gt;=$F56,$AD56-SUM($G56:R56),0)</f>
        <v>0</v>
      </c>
      <c r="AR56" s="153">
        <f>IF(S$36&gt;=$F56,$AD56-SUM($G56:S56),0)</f>
        <v>0</v>
      </c>
      <c r="AS56" s="153">
        <f>IF(T$36&gt;=$F56,$AD56-SUM($G56:T56),0)</f>
        <v>0</v>
      </c>
      <c r="AT56" s="153">
        <f>IF(U$36&gt;=$F56,$AD56-SUM($G56:U56),0)</f>
        <v>0</v>
      </c>
      <c r="AU56" s="153">
        <f>IF(V$36&gt;=$F56,$AD56-SUM($G56:V56),0)</f>
        <v>0</v>
      </c>
      <c r="AV56" s="153">
        <f>IF(W$36&gt;=$F56,$AD56-SUM($G56:W56),0)</f>
        <v>0</v>
      </c>
      <c r="AW56" s="153">
        <f>IF(X$36&gt;=$F56,$AD56-SUM($G56:X56),0)</f>
        <v>0</v>
      </c>
      <c r="AX56" s="153">
        <f>IF(Y$36&gt;=$F56,$AD56-SUM($G56:Y56),0)</f>
        <v>0</v>
      </c>
      <c r="AY56" s="153">
        <f ca="1">IF(Z$36&gt;=$F56,$AD56-SUM($G56:Z56),0)</f>
        <v>66.910430695733254</v>
      </c>
      <c r="AZ56" s="154">
        <f ca="1">IF(AA$36&gt;=$F56,$AD56-SUM($G56:AA56),0)</f>
        <v>66.910430695733254</v>
      </c>
    </row>
    <row r="57" spans="2:52" ht="15" thickBot="1" x14ac:dyDescent="0.35">
      <c r="B57" s="148">
        <f t="shared" si="7"/>
        <v>265.32977051444226</v>
      </c>
      <c r="C57" s="185">
        <f t="shared" si="8"/>
        <v>12.634750976878195</v>
      </c>
      <c r="D57" s="181">
        <f t="shared" ca="1" si="5"/>
        <v>989.07024648435333</v>
      </c>
      <c r="E57" s="174" cm="1">
        <f t="array" aca="1" ref="E57" ca="1">INDEX($G$58:$AA$58, 0, MATCH(F57,$G$36:$AA$36,0))+C57</f>
        <v>70.2543675591115</v>
      </c>
      <c r="F57" s="186">
        <v>2280</v>
      </c>
      <c r="G57" s="155">
        <f t="shared" si="17"/>
        <v>0</v>
      </c>
      <c r="H57" s="148">
        <f t="shared" si="17"/>
        <v>0</v>
      </c>
      <c r="I57" s="148">
        <f t="shared" si="17"/>
        <v>0</v>
      </c>
      <c r="J57" s="148">
        <f t="shared" si="17"/>
        <v>0</v>
      </c>
      <c r="K57" s="148">
        <f t="shared" si="17"/>
        <v>0</v>
      </c>
      <c r="L57" s="148">
        <f t="shared" si="17"/>
        <v>0</v>
      </c>
      <c r="M57" s="148">
        <f t="shared" si="17"/>
        <v>0</v>
      </c>
      <c r="N57" s="148">
        <f t="shared" si="17"/>
        <v>0</v>
      </c>
      <c r="O57" s="148">
        <f t="shared" si="17"/>
        <v>0</v>
      </c>
      <c r="P57" s="148">
        <f t="shared" si="17"/>
        <v>0</v>
      </c>
      <c r="Q57" s="148">
        <f t="shared" si="19"/>
        <v>0</v>
      </c>
      <c r="R57" s="148">
        <f t="shared" si="19"/>
        <v>0</v>
      </c>
      <c r="S57" s="148">
        <f t="shared" si="19"/>
        <v>0</v>
      </c>
      <c r="T57" s="148">
        <f t="shared" si="19"/>
        <v>0</v>
      </c>
      <c r="U57" s="148">
        <f t="shared" si="19"/>
        <v>0</v>
      </c>
      <c r="V57" s="148">
        <f t="shared" si="19"/>
        <v>0</v>
      </c>
      <c r="W57" s="148">
        <f t="shared" si="19"/>
        <v>0</v>
      </c>
      <c r="X57" s="148">
        <f t="shared" si="19"/>
        <v>0</v>
      </c>
      <c r="Y57" s="148">
        <f t="shared" si="19"/>
        <v>0</v>
      </c>
      <c r="Z57" s="148">
        <f t="shared" si="19"/>
        <v>0</v>
      </c>
      <c r="AA57" s="156">
        <f ca="1">IF(AA$36&gt;=$F57,$E57*INDEX($F$8:$Z$8,MATCH(AA$67-$F57,$F$6:$Z$6,0)),0)</f>
        <v>0</v>
      </c>
      <c r="AD57" s="174">
        <f ca="1"/>
        <v>70.2543675591115</v>
      </c>
      <c r="AE57" s="158">
        <v>2280</v>
      </c>
      <c r="AF57" s="155">
        <f>IF(G$36&gt;=$F57,$AD57-SUM($G57:G57),0)</f>
        <v>0</v>
      </c>
      <c r="AG57" s="148">
        <f>IF(H$36&gt;=$F57,$AD57-SUM($G57:H57),0)</f>
        <v>0</v>
      </c>
      <c r="AH57" s="148">
        <f>IF(I$36&gt;=$F57,$AD57-SUM($G57:I57),0)</f>
        <v>0</v>
      </c>
      <c r="AI57" s="148">
        <f>IF(J$36&gt;=$F57,$AD57-SUM($G57:J57),0)</f>
        <v>0</v>
      </c>
      <c r="AJ57" s="148">
        <f>IF(K$36&gt;=$F57,$AD57-SUM($G57:K57),0)</f>
        <v>0</v>
      </c>
      <c r="AK57" s="148">
        <f>IF(L$36&gt;=$F57,$AD57-SUM($G57:L57),0)</f>
        <v>0</v>
      </c>
      <c r="AL57" s="148">
        <f>IF(M$36&gt;=$F57,$AD57-SUM($G57:M57),0)</f>
        <v>0</v>
      </c>
      <c r="AM57" s="148">
        <f>IF(N$36&gt;=$F57,$AD57-SUM($G57:N57),0)</f>
        <v>0</v>
      </c>
      <c r="AN57" s="148">
        <f>IF(O$36&gt;=$F57,$AD57-SUM($G57:O57),0)</f>
        <v>0</v>
      </c>
      <c r="AO57" s="148">
        <f>IF(P$36&gt;=$F57,$AD57-SUM($G57:P57),0)</f>
        <v>0</v>
      </c>
      <c r="AP57" s="148">
        <f>IF(Q$36&gt;=$F57,$AD57-SUM($G57:Q57),0)</f>
        <v>0</v>
      </c>
      <c r="AQ57" s="148">
        <f>IF(R$36&gt;=$F57,$AD57-SUM($G57:R57),0)</f>
        <v>0</v>
      </c>
      <c r="AR57" s="148">
        <f>IF(S$36&gt;=$F57,$AD57-SUM($G57:S57),0)</f>
        <v>0</v>
      </c>
      <c r="AS57" s="148">
        <f>IF(T$36&gt;=$F57,$AD57-SUM($G57:T57),0)</f>
        <v>0</v>
      </c>
      <c r="AT57" s="148">
        <f>IF(U$36&gt;=$F57,$AD57-SUM($G57:U57),0)</f>
        <v>0</v>
      </c>
      <c r="AU57" s="148">
        <f>IF(V$36&gt;=$F57,$AD57-SUM($G57:V57),0)</f>
        <v>0</v>
      </c>
      <c r="AV57" s="148">
        <f>IF(W$36&gt;=$F57,$AD57-SUM($G57:W57),0)</f>
        <v>0</v>
      </c>
      <c r="AW57" s="148">
        <f>IF(X$36&gt;=$F57,$AD57-SUM($G57:X57),0)</f>
        <v>0</v>
      </c>
      <c r="AX57" s="148">
        <f>IF(Y$36&gt;=$F57,$AD57-SUM($G57:Y57),0)</f>
        <v>0</v>
      </c>
      <c r="AY57" s="148">
        <f>IF(Z$36&gt;=$F57,$AD57-SUM($G57:Z57),0)</f>
        <v>0</v>
      </c>
      <c r="AZ57" s="156">
        <f ca="1">IF(AA$36&gt;=$F57,$AD57-SUM($G57:AA57),0)</f>
        <v>70.2543675591115</v>
      </c>
    </row>
    <row r="58" spans="2:52" ht="15" thickTop="1" x14ac:dyDescent="0.3">
      <c r="D58" s="177"/>
      <c r="E58" s="170">
        <f ca="1">SUM(E36:E57)</f>
        <v>989.07024648435333</v>
      </c>
      <c r="F58" s="105" t="s">
        <v>75</v>
      </c>
      <c r="G58" s="173">
        <f t="shared" ref="G58:AA58" si="25">SUM(G37:G57)</f>
        <v>0</v>
      </c>
      <c r="H58" s="173">
        <f t="shared" ca="1" si="25"/>
        <v>0</v>
      </c>
      <c r="I58" s="173">
        <f t="shared" ca="1" si="25"/>
        <v>11.504703334995268</v>
      </c>
      <c r="J58" s="173">
        <f t="shared" ca="1" si="25"/>
        <v>26.360136341940358</v>
      </c>
      <c r="K58" s="173">
        <f t="shared" ca="1" si="25"/>
        <v>30.340205727867406</v>
      </c>
      <c r="L58" s="173">
        <f t="shared" ca="1" si="25"/>
        <v>28.753537716270159</v>
      </c>
      <c r="M58" s="173">
        <f t="shared" ca="1" si="25"/>
        <v>28.170431725774776</v>
      </c>
      <c r="N58" s="173">
        <f t="shared" ca="1" si="25"/>
        <v>29.899619358950837</v>
      </c>
      <c r="O58" s="173">
        <f t="shared" ca="1" si="25"/>
        <v>32.185454430230429</v>
      </c>
      <c r="P58" s="173">
        <f t="shared" ca="1" si="25"/>
        <v>34.020181055209918</v>
      </c>
      <c r="Q58" s="173">
        <f t="shared" ca="1" si="25"/>
        <v>35.363872942614357</v>
      </c>
      <c r="R58" s="173">
        <f t="shared" ca="1" si="25"/>
        <v>37.081936202100991</v>
      </c>
      <c r="S58" s="173">
        <f t="shared" ca="1" si="25"/>
        <v>38.984831682225284</v>
      </c>
      <c r="T58" s="173">
        <f t="shared" ca="1" si="25"/>
        <v>40.969527058797055</v>
      </c>
      <c r="U58" s="173">
        <f t="shared" ca="1" si="25"/>
        <v>43.013259443841513</v>
      </c>
      <c r="V58" s="173">
        <f t="shared" ca="1" si="25"/>
        <v>45.149878787300231</v>
      </c>
      <c r="W58" s="173">
        <f t="shared" ca="1" si="25"/>
        <v>47.40379455799804</v>
      </c>
      <c r="X58" s="173">
        <f t="shared" ca="1" si="25"/>
        <v>49.776318111320059</v>
      </c>
      <c r="Y58" s="173">
        <f t="shared" ca="1" si="25"/>
        <v>52.265836382963322</v>
      </c>
      <c r="Z58" s="173">
        <f t="shared" ca="1" si="25"/>
        <v>54.87733452727781</v>
      </c>
      <c r="AA58" s="173">
        <f t="shared" ca="1" si="25"/>
        <v>57.619616582233306</v>
      </c>
      <c r="AD58" s="170">
        <f ca="1">SUM(AD36:AD57)</f>
        <v>989.07024648435333</v>
      </c>
      <c r="AE58" s="157" t="s">
        <v>75</v>
      </c>
      <c r="AF58" s="173">
        <f t="shared" ref="AF58:AZ58" si="26">SUM(AF37:AF57)</f>
        <v>100</v>
      </c>
      <c r="AG58" s="173">
        <f t="shared" ca="1" si="26"/>
        <v>105</v>
      </c>
      <c r="AH58" s="173">
        <f t="shared" ca="1" si="26"/>
        <v>110.25</v>
      </c>
      <c r="AI58" s="173">
        <f t="shared" ca="1" si="26"/>
        <v>115.76250000000002</v>
      </c>
      <c r="AJ58" s="173">
        <f t="shared" ca="1" si="26"/>
        <v>121.55062500000003</v>
      </c>
      <c r="AK58" s="173">
        <f t="shared" ca="1" si="26"/>
        <v>127.62815625000002</v>
      </c>
      <c r="AL58" s="173">
        <f t="shared" ca="1" si="26"/>
        <v>134.00956406250003</v>
      </c>
      <c r="AM58" s="173">
        <f t="shared" ca="1" si="26"/>
        <v>140.71004226562505</v>
      </c>
      <c r="AN58" s="173">
        <f t="shared" ca="1" si="26"/>
        <v>147.74554437890635</v>
      </c>
      <c r="AO58" s="173">
        <f t="shared" ca="1" si="26"/>
        <v>155.13282159785163</v>
      </c>
      <c r="AP58" s="173">
        <f t="shared" ca="1" si="26"/>
        <v>162.88946267774421</v>
      </c>
      <c r="AQ58" s="173">
        <f t="shared" ca="1" si="26"/>
        <v>171.03393581163144</v>
      </c>
      <c r="AR58" s="173">
        <f t="shared" ca="1" si="26"/>
        <v>179.58563260221302</v>
      </c>
      <c r="AS58" s="173">
        <f t="shared" ca="1" si="26"/>
        <v>188.56491423232364</v>
      </c>
      <c r="AT58" s="173">
        <f t="shared" ca="1" si="26"/>
        <v>197.99315994393987</v>
      </c>
      <c r="AU58" s="173">
        <f t="shared" ca="1" si="26"/>
        <v>207.89281794113688</v>
      </c>
      <c r="AV58" s="173">
        <f t="shared" ca="1" si="26"/>
        <v>218.28745883819374</v>
      </c>
      <c r="AW58" s="173">
        <f t="shared" ca="1" si="26"/>
        <v>229.20183178010345</v>
      </c>
      <c r="AX58" s="173">
        <f t="shared" ca="1" si="26"/>
        <v>240.66192336910862</v>
      </c>
      <c r="AY58" s="173">
        <f t="shared" ca="1" si="26"/>
        <v>252.69501953756406</v>
      </c>
      <c r="AZ58" s="173">
        <f t="shared" ca="1" si="26"/>
        <v>265.32977051444226</v>
      </c>
    </row>
    <row r="59" spans="2:52" x14ac:dyDescent="0.3">
      <c r="D59" s="106"/>
      <c r="E59" s="163"/>
      <c r="F59" t="s">
        <v>105</v>
      </c>
      <c r="G59" s="175">
        <f>G58</f>
        <v>0</v>
      </c>
      <c r="H59" s="175">
        <f t="shared" ref="H59:AA59" ca="1" si="27">G59+H58</f>
        <v>0</v>
      </c>
      <c r="I59" s="175">
        <f t="shared" ca="1" si="27"/>
        <v>11.504703334995268</v>
      </c>
      <c r="J59" s="175">
        <f t="shared" ca="1" si="27"/>
        <v>37.864839676935624</v>
      </c>
      <c r="K59" s="175">
        <f t="shared" ca="1" si="27"/>
        <v>68.20504540480303</v>
      </c>
      <c r="L59" s="175">
        <f t="shared" ca="1" si="27"/>
        <v>96.95858312107319</v>
      </c>
      <c r="M59" s="175">
        <f t="shared" ca="1" si="27"/>
        <v>125.12901484684797</v>
      </c>
      <c r="N59" s="175">
        <f t="shared" ca="1" si="27"/>
        <v>155.0286342057988</v>
      </c>
      <c r="O59" s="175">
        <f t="shared" ca="1" si="27"/>
        <v>187.21408863602923</v>
      </c>
      <c r="P59" s="175">
        <f t="shared" ca="1" si="27"/>
        <v>221.23426969123915</v>
      </c>
      <c r="Q59" s="175">
        <f t="shared" ca="1" si="27"/>
        <v>256.59814263385351</v>
      </c>
      <c r="R59" s="175">
        <f t="shared" ca="1" si="27"/>
        <v>293.68007883595453</v>
      </c>
      <c r="S59" s="175">
        <f t="shared" ca="1" si="27"/>
        <v>332.66491051817979</v>
      </c>
      <c r="T59" s="175">
        <f t="shared" ca="1" si="27"/>
        <v>373.63443757697684</v>
      </c>
      <c r="U59" s="175">
        <f t="shared" ca="1" si="27"/>
        <v>416.64769702081833</v>
      </c>
      <c r="V59" s="175">
        <f t="shared" ca="1" si="27"/>
        <v>461.79757580811855</v>
      </c>
      <c r="W59" s="175">
        <f t="shared" ca="1" si="27"/>
        <v>509.20137036611658</v>
      </c>
      <c r="X59" s="175">
        <f t="shared" ca="1" si="27"/>
        <v>558.97768847743669</v>
      </c>
      <c r="Y59" s="175">
        <f t="shared" ca="1" si="27"/>
        <v>611.24352486040004</v>
      </c>
      <c r="Z59" s="175">
        <f t="shared" ca="1" si="27"/>
        <v>666.12085938767791</v>
      </c>
      <c r="AA59" s="175">
        <f t="shared" ca="1" si="27"/>
        <v>723.74047596991124</v>
      </c>
      <c r="AD59" s="163"/>
      <c r="AF59" s="175"/>
      <c r="AG59" s="175"/>
      <c r="AH59" s="175"/>
      <c r="AI59" s="175"/>
      <c r="AJ59" s="175"/>
      <c r="AK59" s="175"/>
      <c r="AL59" s="175"/>
      <c r="AM59" s="175"/>
      <c r="AN59" s="175"/>
      <c r="AO59" s="175"/>
      <c r="AP59" s="175"/>
      <c r="AQ59" s="175"/>
      <c r="AR59" s="175"/>
      <c r="AS59" s="175"/>
      <c r="AT59" s="175"/>
      <c r="AU59" s="175"/>
      <c r="AV59" s="175"/>
      <c r="AW59" s="175"/>
      <c r="AX59" s="175"/>
      <c r="AY59" s="175"/>
      <c r="AZ59" s="175"/>
    </row>
    <row r="60" spans="2:52" x14ac:dyDescent="0.3">
      <c r="D60" s="106"/>
      <c r="AD60" s="106"/>
      <c r="AE60" s="106"/>
    </row>
    <row r="61" spans="2:52" x14ac:dyDescent="0.3">
      <c r="D61" s="106"/>
      <c r="AD61" s="106"/>
      <c r="AE61" s="106"/>
    </row>
    <row r="62" spans="2:52" x14ac:dyDescent="0.3">
      <c r="D62" s="106"/>
      <c r="AD62" s="106"/>
      <c r="AE62" s="106"/>
    </row>
    <row r="63" spans="2:52" x14ac:dyDescent="0.3">
      <c r="D63" s="106"/>
      <c r="AD63" s="106"/>
      <c r="AE63" s="106"/>
    </row>
    <row r="64" spans="2:52" x14ac:dyDescent="0.3">
      <c r="D64" s="106"/>
      <c r="AD64" s="106"/>
      <c r="AE64" s="106"/>
    </row>
    <row r="65" spans="2:52" x14ac:dyDescent="0.3">
      <c r="D65" s="106"/>
      <c r="E65" s="170"/>
      <c r="F65" s="105"/>
      <c r="G65" s="106" t="s">
        <v>95</v>
      </c>
      <c r="H65" s="173"/>
      <c r="I65" s="173"/>
      <c r="J65" s="173"/>
      <c r="K65" s="173"/>
      <c r="L65" s="173"/>
      <c r="M65" s="173"/>
      <c r="N65" s="173"/>
      <c r="O65" s="173"/>
      <c r="P65" s="173"/>
      <c r="Q65" s="173"/>
      <c r="R65" s="173"/>
      <c r="S65" s="173"/>
      <c r="T65" s="173"/>
      <c r="U65" s="173"/>
      <c r="V65" s="173"/>
      <c r="W65" s="173"/>
      <c r="X65" s="173"/>
      <c r="Y65" s="173"/>
      <c r="Z65" s="173"/>
      <c r="AA65" s="173"/>
      <c r="AD65" s="106"/>
      <c r="AE65" s="106"/>
      <c r="AF65" s="106" t="s">
        <v>96</v>
      </c>
    </row>
    <row r="66" spans="2:52" x14ac:dyDescent="0.3">
      <c r="B66" s="234" t="s">
        <v>90</v>
      </c>
      <c r="C66" s="235"/>
      <c r="D66" s="234" t="s">
        <v>86</v>
      </c>
      <c r="E66" s="235"/>
      <c r="G66" s="106" t="s">
        <v>85</v>
      </c>
      <c r="AD66" s="106"/>
      <c r="AE66" s="106"/>
      <c r="AF66" s="106" t="s">
        <v>82</v>
      </c>
    </row>
    <row r="67" spans="2:52" x14ac:dyDescent="0.3">
      <c r="B67" s="106" t="s">
        <v>105</v>
      </c>
      <c r="C67" s="163" t="s">
        <v>87</v>
      </c>
      <c r="D67" s="106" t="s">
        <v>105</v>
      </c>
      <c r="E67" s="163" t="s">
        <v>87</v>
      </c>
      <c r="F67" s="106" t="s">
        <v>73</v>
      </c>
      <c r="G67" s="106">
        <v>2080</v>
      </c>
      <c r="H67" s="106">
        <v>2090</v>
      </c>
      <c r="I67" s="106">
        <v>2100</v>
      </c>
      <c r="J67" s="106">
        <v>2110</v>
      </c>
      <c r="K67" s="106">
        <v>2120</v>
      </c>
      <c r="L67" s="106">
        <v>2130</v>
      </c>
      <c r="M67" s="106">
        <v>2140</v>
      </c>
      <c r="N67" s="106">
        <v>2150</v>
      </c>
      <c r="O67" s="106">
        <v>2160</v>
      </c>
      <c r="P67" s="106">
        <v>2170</v>
      </c>
      <c r="Q67" s="106">
        <v>2180</v>
      </c>
      <c r="R67" s="106">
        <v>2190</v>
      </c>
      <c r="S67" s="106">
        <v>2200</v>
      </c>
      <c r="T67" s="106">
        <v>2210</v>
      </c>
      <c r="U67" s="106">
        <v>2220</v>
      </c>
      <c r="V67" s="106">
        <v>2230</v>
      </c>
      <c r="W67" s="106">
        <v>2240</v>
      </c>
      <c r="X67" s="106">
        <v>2250</v>
      </c>
      <c r="Y67" s="106">
        <v>2260</v>
      </c>
      <c r="Z67" s="106">
        <v>2270</v>
      </c>
      <c r="AA67" s="106">
        <v>2280</v>
      </c>
      <c r="AD67" s="163" t="s">
        <v>74</v>
      </c>
      <c r="AE67" s="106" t="s">
        <v>73</v>
      </c>
      <c r="AF67" s="106">
        <v>2080</v>
      </c>
      <c r="AG67" s="106">
        <v>2090</v>
      </c>
      <c r="AH67" s="106">
        <v>2100</v>
      </c>
      <c r="AI67" s="106">
        <v>2110</v>
      </c>
      <c r="AJ67" s="106">
        <v>2120</v>
      </c>
      <c r="AK67" s="106">
        <v>2130</v>
      </c>
      <c r="AL67" s="106">
        <v>2140</v>
      </c>
      <c r="AM67" s="106">
        <v>2150</v>
      </c>
      <c r="AN67" s="106">
        <v>2160</v>
      </c>
      <c r="AO67" s="106">
        <v>2170</v>
      </c>
      <c r="AP67" s="106">
        <v>2180</v>
      </c>
      <c r="AQ67" s="106">
        <v>2190</v>
      </c>
      <c r="AR67" s="106">
        <v>2200</v>
      </c>
      <c r="AS67" s="106">
        <v>2210</v>
      </c>
      <c r="AT67" s="106">
        <v>2220</v>
      </c>
      <c r="AU67" s="106">
        <v>2230</v>
      </c>
      <c r="AV67" s="106">
        <v>2240</v>
      </c>
      <c r="AW67" s="106">
        <v>2250</v>
      </c>
      <c r="AX67" s="106">
        <v>2260</v>
      </c>
      <c r="AY67" s="106">
        <v>2270</v>
      </c>
      <c r="AZ67" s="106">
        <v>2280</v>
      </c>
    </row>
    <row r="68" spans="2:52" x14ac:dyDescent="0.3">
      <c r="B68" s="177">
        <f>C68</f>
        <v>0</v>
      </c>
      <c r="C68" s="182">
        <f t="shared" ref="C68:C88" si="28">E37-E68</f>
        <v>0</v>
      </c>
      <c r="D68" s="177">
        <f>E68</f>
        <v>100</v>
      </c>
      <c r="E68" s="170">
        <f>$G$15</f>
        <v>100</v>
      </c>
      <c r="F68" s="157">
        <v>2080</v>
      </c>
      <c r="G68" s="149">
        <f t="shared" ref="G68:V83" si="29">IF(G$36&gt;=$F68,$E68*INDEX($F$13:$Z$13,MATCH(G$67-$F68,$F$12:$Z$12,0)),0)</f>
        <v>0</v>
      </c>
      <c r="H68" s="150">
        <f t="shared" si="29"/>
        <v>0</v>
      </c>
      <c r="I68" s="150">
        <f t="shared" si="29"/>
        <v>0</v>
      </c>
      <c r="J68" s="150">
        <f t="shared" si="29"/>
        <v>0</v>
      </c>
      <c r="K68" s="150">
        <f t="shared" si="29"/>
        <v>0</v>
      </c>
      <c r="L68" s="150">
        <f t="shared" si="29"/>
        <v>10.51606831856302</v>
      </c>
      <c r="M68" s="150">
        <f t="shared" si="29"/>
        <v>25.365892838441521</v>
      </c>
      <c r="N68" s="150">
        <f t="shared" si="29"/>
        <v>27.330094725851222</v>
      </c>
      <c r="O68" s="150">
        <f t="shared" si="29"/>
        <v>19.886612576537622</v>
      </c>
      <c r="P68" s="150">
        <f t="shared" si="29"/>
        <v>10.683679138394986</v>
      </c>
      <c r="Q68" s="150">
        <f t="shared" si="29"/>
        <v>4.3860885133382048</v>
      </c>
      <c r="R68" s="150">
        <f t="shared" si="29"/>
        <v>1.3995399414640119</v>
      </c>
      <c r="S68" s="150">
        <f t="shared" si="29"/>
        <v>0.35042516390219047</v>
      </c>
      <c r="T68" s="150">
        <f t="shared" si="29"/>
        <v>0</v>
      </c>
      <c r="U68" s="150">
        <f t="shared" si="29"/>
        <v>0</v>
      </c>
      <c r="V68" s="150">
        <f t="shared" si="29"/>
        <v>0</v>
      </c>
      <c r="W68" s="150">
        <f t="shared" ref="W68:AA68" si="30">IF(W$36&gt;=$F68,$E68*INDEX($F$13:$Z$13,MATCH(W$67-$F68,$F$12:$Z$12,0)),0)</f>
        <v>0</v>
      </c>
      <c r="X68" s="150">
        <f t="shared" si="30"/>
        <v>0</v>
      </c>
      <c r="Y68" s="150">
        <f t="shared" si="30"/>
        <v>0</v>
      </c>
      <c r="Z68" s="150">
        <f t="shared" si="30"/>
        <v>0</v>
      </c>
      <c r="AA68" s="151">
        <f t="shared" si="30"/>
        <v>0</v>
      </c>
      <c r="AD68" s="170">
        <f t="array" ref="AD68:AD88">E68:E88</f>
        <v>100</v>
      </c>
      <c r="AE68" s="157">
        <v>2080</v>
      </c>
      <c r="AF68" s="149">
        <f>IF(G$36&gt;=$F68,$AD68-SUM($G68:G68),0)</f>
        <v>100</v>
      </c>
      <c r="AG68" s="150">
        <f>IF(H$36&gt;=$F68,$AD68-SUM($G68:H68),0)</f>
        <v>100</v>
      </c>
      <c r="AH68" s="150">
        <f>IF(I$36&gt;=$F68,$AD68-SUM($G68:I68),0)</f>
        <v>100</v>
      </c>
      <c r="AI68" s="150">
        <f>IF(J$36&gt;=$F68,$AD68-SUM($G68:J68),0)</f>
        <v>100</v>
      </c>
      <c r="AJ68" s="150">
        <f>IF(K$36&gt;=$F68,$AD68-SUM($G68:K68),0)</f>
        <v>100</v>
      </c>
      <c r="AK68" s="150">
        <f>IF(L$36&gt;=$F68,$AD68-SUM($G68:L68),0)</f>
        <v>89.483931681436985</v>
      </c>
      <c r="AL68" s="150">
        <f>IF(M$36&gt;=$F68,$AD68-SUM($G68:M68),0)</f>
        <v>64.11803884299546</v>
      </c>
      <c r="AM68" s="150">
        <f>IF(N$36&gt;=$F68,$AD68-SUM($G68:N68),0)</f>
        <v>36.787944117144235</v>
      </c>
      <c r="AN68" s="150">
        <f>IF(O$36&gt;=$F68,$AD68-SUM($G68:O68),0)</f>
        <v>16.901331540606606</v>
      </c>
      <c r="AO68" s="150">
        <f>IF(P$36&gt;=$F68,$AD68-SUM($G68:P68),0)</f>
        <v>6.2176524022116268</v>
      </c>
      <c r="AP68" s="150">
        <f>IF(Q$36&gt;=$F68,$AD68-SUM($G68:Q68),0)</f>
        <v>1.8315638888734185</v>
      </c>
      <c r="AQ68" s="150">
        <f>IF(R$36&gt;=$F68,$AD68-SUM($G68:R68),0)</f>
        <v>0.4320239474094052</v>
      </c>
      <c r="AR68" s="150">
        <f>IF(S$36&gt;=$F68,$AD68-SUM($G68:S68),0)</f>
        <v>8.1598783507217831E-2</v>
      </c>
      <c r="AS68" s="150">
        <f>IF(T$36&gt;=$F68,$AD68-SUM($G68:T68),0)</f>
        <v>8.1598783507217831E-2</v>
      </c>
      <c r="AT68" s="150">
        <f>IF(U$36&gt;=$F68,$AD68-SUM($G68:U68),0)</f>
        <v>8.1598783507217831E-2</v>
      </c>
      <c r="AU68" s="150">
        <f>IF(V$36&gt;=$F68,$AD68-SUM($G68:V68),0)</f>
        <v>8.1598783507217831E-2</v>
      </c>
      <c r="AV68" s="150">
        <f>IF(W$36&gt;=$F68,$AD68-SUM($G68:W68),0)</f>
        <v>8.1598783507217831E-2</v>
      </c>
      <c r="AW68" s="150">
        <f>IF(X$36&gt;=$F68,$AD68-SUM($G68:X68),0)</f>
        <v>8.1598783507217831E-2</v>
      </c>
      <c r="AX68" s="150">
        <f>IF(Y$36&gt;=$F68,$AD68-SUM($G68:Y68),0)</f>
        <v>8.1598783507217831E-2</v>
      </c>
      <c r="AY68" s="150">
        <f>IF(Z$36&gt;=$F68,$AD68-SUM($G68:Z68),0)</f>
        <v>8.1598783507217831E-2</v>
      </c>
      <c r="AZ68" s="151">
        <f>IF(AA$36&gt;=$F68,$AD68-SUM($G68:AA68),0)</f>
        <v>8.1598783507217831E-2</v>
      </c>
    </row>
    <row r="69" spans="2:52" x14ac:dyDescent="0.3">
      <c r="B69" s="177">
        <f t="shared" ref="B69:B88" ca="1" si="31">B68+C69</f>
        <v>0</v>
      </c>
      <c r="C69" s="182">
        <f t="shared" ca="1" si="28"/>
        <v>0</v>
      </c>
      <c r="D69" s="177">
        <f t="shared" ref="D69:D88" ca="1" si="32">D68+E69</f>
        <v>105</v>
      </c>
      <c r="E69" s="170" cm="1">
        <f t="array" aca="1" ref="E69" ca="1">INDEX($G$89:$AA$89, 0, MATCH(F69,$G$67:$AA$67,0))+C38</f>
        <v>5</v>
      </c>
      <c r="F69" s="157">
        <v>2090</v>
      </c>
      <c r="G69" s="152">
        <f t="shared" si="29"/>
        <v>0</v>
      </c>
      <c r="H69" s="153">
        <f t="shared" ref="H69:AA69" ca="1" si="33">IF(H$36&gt;=$F69,$E69*INDEX($F$13:$Z$13,MATCH(H$67-$F69,$F$12:$Z$12,0)),0)</f>
        <v>0</v>
      </c>
      <c r="I69" s="153">
        <f t="shared" ca="1" si="33"/>
        <v>0</v>
      </c>
      <c r="J69" s="153">
        <f t="shared" ca="1" si="33"/>
        <v>0</v>
      </c>
      <c r="K69" s="153">
        <f t="shared" ca="1" si="33"/>
        <v>0</v>
      </c>
      <c r="L69" s="153">
        <f t="shared" ca="1" si="33"/>
        <v>0</v>
      </c>
      <c r="M69" s="153">
        <f t="shared" ca="1" si="33"/>
        <v>0.57523516674976338</v>
      </c>
      <c r="N69" s="153">
        <f t="shared" ca="1" si="33"/>
        <v>1.2892450587595297</v>
      </c>
      <c r="O69" s="153">
        <f t="shared" ca="1" si="33"/>
        <v>1.3561690877879058</v>
      </c>
      <c r="P69" s="153">
        <f t="shared" ca="1" si="33"/>
        <v>0.97051663375876185</v>
      </c>
      <c r="Q69" s="153">
        <f t="shared" ca="1" si="33"/>
        <v>0.51403439457981104</v>
      </c>
      <c r="R69" s="153">
        <f t="shared" ca="1" si="33"/>
        <v>0.20828194751285833</v>
      </c>
      <c r="S69" s="153">
        <f t="shared" ca="1" si="33"/>
        <v>6.5631028359235899E-2</v>
      </c>
      <c r="T69" s="153">
        <f t="shared" ca="1" si="33"/>
        <v>0.02</v>
      </c>
      <c r="U69" s="153">
        <f t="shared" ca="1" si="33"/>
        <v>0</v>
      </c>
      <c r="V69" s="153">
        <f t="shared" ca="1" si="33"/>
        <v>0</v>
      </c>
      <c r="W69" s="153">
        <f t="shared" ca="1" si="33"/>
        <v>0</v>
      </c>
      <c r="X69" s="153">
        <f t="shared" ca="1" si="33"/>
        <v>0</v>
      </c>
      <c r="Y69" s="153">
        <f t="shared" ca="1" si="33"/>
        <v>0</v>
      </c>
      <c r="Z69" s="153">
        <f t="shared" ca="1" si="33"/>
        <v>0</v>
      </c>
      <c r="AA69" s="154">
        <f t="shared" ca="1" si="33"/>
        <v>0</v>
      </c>
      <c r="AD69" s="170">
        <f ca="1"/>
        <v>5</v>
      </c>
      <c r="AE69" s="157">
        <v>2090</v>
      </c>
      <c r="AF69" s="152">
        <f>IF(G$36&gt;=$F69,$AD69-SUM($G69:G69),0)</f>
        <v>0</v>
      </c>
      <c r="AG69" s="153">
        <f ca="1">IF(H$36&gt;=$F69,$AD69-SUM($G69:H69),0)</f>
        <v>5</v>
      </c>
      <c r="AH69" s="153">
        <f ca="1">IF(I$36&gt;=$F69,$AD69-SUM($G69:I69),0)</f>
        <v>5</v>
      </c>
      <c r="AI69" s="153">
        <f ca="1">IF(J$36&gt;=$F69,$AD69-SUM($G69:J69),0)</f>
        <v>5</v>
      </c>
      <c r="AJ69" s="153">
        <f ca="1">IF(K$36&gt;=$F69,$AD69-SUM($G69:K69),0)</f>
        <v>5</v>
      </c>
      <c r="AK69" s="153">
        <f ca="1">IF(L$36&gt;=$F69,$AD69-SUM($G69:L69),0)</f>
        <v>5</v>
      </c>
      <c r="AL69" s="153">
        <f ca="1">IF(M$36&gt;=$F69,$AD69-SUM($G69:M69),0)</f>
        <v>4.4247648332502365</v>
      </c>
      <c r="AM69" s="153">
        <f ca="1">IF(N$36&gt;=$F69,$AD69-SUM($G69:N69),0)</f>
        <v>3.1355197744907071</v>
      </c>
      <c r="AN69" s="153">
        <f ca="1">IF(O$36&gt;=$F69,$AD69-SUM($G69:O69),0)</f>
        <v>1.7793506867028013</v>
      </c>
      <c r="AO69" s="153">
        <f ca="1">IF(P$36&gt;=$F69,$AD69-SUM($G69:P69),0)</f>
        <v>0.80883405294403943</v>
      </c>
      <c r="AP69" s="153">
        <f ca="1">IF(Q$36&gt;=$F69,$AD69-SUM($G69:Q69),0)</f>
        <v>0.29479965836422828</v>
      </c>
      <c r="AQ69" s="153">
        <f ca="1">IF(R$36&gt;=$F69,$AD69-SUM($G69:R69),0)</f>
        <v>8.65177108513695E-2</v>
      </c>
      <c r="AR69" s="153">
        <f ca="1">IF(S$36&gt;=$F69,$AD69-SUM($G69:S69),0)</f>
        <v>2.0886682492133879E-2</v>
      </c>
      <c r="AS69" s="153">
        <f ca="1">IF(T$36&gt;=$F69,$AD69-SUM($G69:T69),0)</f>
        <v>8.8668249213430528E-4</v>
      </c>
      <c r="AT69" s="153">
        <f ca="1">IF(U$36&gt;=$F69,$AD69-SUM($G69:U69),0)</f>
        <v>8.8668249213430528E-4</v>
      </c>
      <c r="AU69" s="153">
        <f ca="1">IF(V$36&gt;=$F69,$AD69-SUM($G69:V69),0)</f>
        <v>8.8668249213430528E-4</v>
      </c>
      <c r="AV69" s="153">
        <f ca="1">IF(W$36&gt;=$F69,$AD69-SUM($G69:W69),0)</f>
        <v>8.8668249213430528E-4</v>
      </c>
      <c r="AW69" s="153">
        <f ca="1">IF(X$36&gt;=$F69,$AD69-SUM($G69:X69),0)</f>
        <v>8.8668249213430528E-4</v>
      </c>
      <c r="AX69" s="153">
        <f ca="1">IF(Y$36&gt;=$F69,$AD69-SUM($G69:Y69),0)</f>
        <v>8.8668249213430528E-4</v>
      </c>
      <c r="AY69" s="153">
        <f ca="1">IF(Z$36&gt;=$F69,$AD69-SUM($G69:Z69),0)</f>
        <v>8.8668249213430528E-4</v>
      </c>
      <c r="AZ69" s="154">
        <f ca="1">IF(AA$36&gt;=$F69,$AD69-SUM($G69:AA69),0)</f>
        <v>8.8668249213430528E-4</v>
      </c>
    </row>
    <row r="70" spans="2:52" x14ac:dyDescent="0.3">
      <c r="B70" s="177">
        <f t="shared" ca="1" si="31"/>
        <v>11.50470333499527</v>
      </c>
      <c r="C70" s="182">
        <f t="shared" ca="1" si="28"/>
        <v>11.50470333499527</v>
      </c>
      <c r="D70" s="177">
        <f t="shared" ca="1" si="32"/>
        <v>110.25</v>
      </c>
      <c r="E70" s="170" cm="1">
        <f t="array" aca="1" ref="E70" ca="1">INDEX($G$89:$AA$89, 0, MATCH(F70,$G$67:$AA$67,0))+C39</f>
        <v>5.25</v>
      </c>
      <c r="F70" s="157">
        <v>2100</v>
      </c>
      <c r="G70" s="152">
        <f t="shared" si="29"/>
        <v>0</v>
      </c>
      <c r="H70" s="153">
        <f t="shared" si="29"/>
        <v>0</v>
      </c>
      <c r="I70" s="153">
        <f t="shared" ref="I70:AA70" ca="1" si="34">IF(I$36&gt;=$F70,$E70*INDEX($F$13:$Z$13,MATCH(I$67-$F70,$F$12:$Z$12,0)),0)</f>
        <v>0</v>
      </c>
      <c r="J70" s="153">
        <f t="shared" ca="1" si="34"/>
        <v>0</v>
      </c>
      <c r="K70" s="153">
        <f t="shared" ca="1" si="34"/>
        <v>0</v>
      </c>
      <c r="L70" s="153">
        <f t="shared" ca="1" si="34"/>
        <v>0</v>
      </c>
      <c r="M70" s="153">
        <f t="shared" ca="1" si="34"/>
        <v>0</v>
      </c>
      <c r="N70" s="153">
        <f t="shared" ca="1" si="34"/>
        <v>0.60399692508725156</v>
      </c>
      <c r="O70" s="153">
        <f t="shared" ca="1" si="34"/>
        <v>1.3537073116975062</v>
      </c>
      <c r="P70" s="153">
        <f t="shared" ca="1" si="34"/>
        <v>1.4239775421773009</v>
      </c>
      <c r="Q70" s="153">
        <f t="shared" ca="1" si="34"/>
        <v>1.0190424654467001</v>
      </c>
      <c r="R70" s="153">
        <f t="shared" ca="1" si="34"/>
        <v>0.53973611430880153</v>
      </c>
      <c r="S70" s="153">
        <f t="shared" ca="1" si="34"/>
        <v>0.21869604488850125</v>
      </c>
      <c r="T70" s="153">
        <f t="shared" ca="1" si="34"/>
        <v>6.8912579777197683E-2</v>
      </c>
      <c r="U70" s="153">
        <f t="shared" ca="1" si="34"/>
        <v>2.1000000000000001E-2</v>
      </c>
      <c r="V70" s="153">
        <f t="shared" ca="1" si="34"/>
        <v>0</v>
      </c>
      <c r="W70" s="153">
        <f t="shared" ca="1" si="34"/>
        <v>0</v>
      </c>
      <c r="X70" s="153">
        <f t="shared" ca="1" si="34"/>
        <v>0</v>
      </c>
      <c r="Y70" s="153">
        <f t="shared" ca="1" si="34"/>
        <v>0</v>
      </c>
      <c r="Z70" s="153">
        <f t="shared" ca="1" si="34"/>
        <v>0</v>
      </c>
      <c r="AA70" s="154">
        <f t="shared" ca="1" si="34"/>
        <v>0</v>
      </c>
      <c r="AD70" s="170">
        <f ca="1"/>
        <v>5.25</v>
      </c>
      <c r="AE70" s="157">
        <v>2100</v>
      </c>
      <c r="AF70" s="152">
        <f>IF(G$36&gt;=$F70,$AD70-SUM($G70:G70),0)</f>
        <v>0</v>
      </c>
      <c r="AG70" s="153">
        <f>IF(H$36&gt;=$F70,$AD70-SUM($G70:H70),0)</f>
        <v>0</v>
      </c>
      <c r="AH70" s="153">
        <f ca="1">IF(I$36&gt;=$F70,$AD70-SUM($G70:I70),0)</f>
        <v>5.25</v>
      </c>
      <c r="AI70" s="153">
        <f ca="1">IF(J$36&gt;=$F70,$AD70-SUM($G70:J70),0)</f>
        <v>5.25</v>
      </c>
      <c r="AJ70" s="153">
        <f ca="1">IF(K$36&gt;=$F70,$AD70-SUM($G70:K70),0)</f>
        <v>5.25</v>
      </c>
      <c r="AK70" s="153">
        <f ca="1">IF(L$36&gt;=$F70,$AD70-SUM($G70:L70),0)</f>
        <v>5.25</v>
      </c>
      <c r="AL70" s="153">
        <f ca="1">IF(M$36&gt;=$F70,$AD70-SUM($G70:M70),0)</f>
        <v>5.25</v>
      </c>
      <c r="AM70" s="153">
        <f ca="1">IF(N$36&gt;=$F70,$AD70-SUM($G70:N70),0)</f>
        <v>4.6460030749127483</v>
      </c>
      <c r="AN70" s="153">
        <f ca="1">IF(O$36&gt;=$F70,$AD70-SUM($G70:O70),0)</f>
        <v>3.2922957632152423</v>
      </c>
      <c r="AO70" s="153">
        <f ca="1">IF(P$36&gt;=$F70,$AD70-SUM($G70:P70),0)</f>
        <v>1.8683182210379412</v>
      </c>
      <c r="AP70" s="153">
        <f ca="1">IF(Q$36&gt;=$F70,$AD70-SUM($G70:Q70),0)</f>
        <v>0.84927575559124158</v>
      </c>
      <c r="AQ70" s="153">
        <f ca="1">IF(R$36&gt;=$F70,$AD70-SUM($G70:R70),0)</f>
        <v>0.3095396412824396</v>
      </c>
      <c r="AR70" s="153">
        <f ca="1">IF(S$36&gt;=$F70,$AD70-SUM($G70:S70),0)</f>
        <v>9.0843596393938242E-2</v>
      </c>
      <c r="AS70" s="153">
        <f ca="1">IF(T$36&gt;=$F70,$AD70-SUM($G70:T70),0)</f>
        <v>2.1931016616740351E-2</v>
      </c>
      <c r="AT70" s="153">
        <f ca="1">IF(U$36&gt;=$F70,$AD70-SUM($G70:U70),0)</f>
        <v>9.3101661674044323E-4</v>
      </c>
      <c r="AU70" s="153">
        <f ca="1">IF(V$36&gt;=$F70,$AD70-SUM($G70:V70),0)</f>
        <v>9.3101661674044323E-4</v>
      </c>
      <c r="AV70" s="153">
        <f ca="1">IF(W$36&gt;=$F70,$AD70-SUM($G70:W70),0)</f>
        <v>9.3101661674044323E-4</v>
      </c>
      <c r="AW70" s="153">
        <f ca="1">IF(X$36&gt;=$F70,$AD70-SUM($G70:X70),0)</f>
        <v>9.3101661674044323E-4</v>
      </c>
      <c r="AX70" s="153">
        <f ca="1">IF(Y$36&gt;=$F70,$AD70-SUM($G70:Y70),0)</f>
        <v>9.3101661674044323E-4</v>
      </c>
      <c r="AY70" s="153">
        <f ca="1">IF(Z$36&gt;=$F70,$AD70-SUM($G70:Z70),0)</f>
        <v>9.3101661674044323E-4</v>
      </c>
      <c r="AZ70" s="154">
        <f ca="1">IF(AA$36&gt;=$F70,$AD70-SUM($G70:AA70),0)</f>
        <v>9.3101661674044323E-4</v>
      </c>
    </row>
    <row r="71" spans="2:52" x14ac:dyDescent="0.3">
      <c r="B71" s="177">
        <f t="shared" ca="1" si="31"/>
        <v>37.864839676935631</v>
      </c>
      <c r="C71" s="182">
        <f t="shared" ca="1" si="28"/>
        <v>26.360136341940358</v>
      </c>
      <c r="D71" s="177">
        <f t="shared" ca="1" si="32"/>
        <v>115.7625</v>
      </c>
      <c r="E71" s="170" cm="1">
        <f t="array" aca="1" ref="E71" ca="1">INDEX($G$89:$AA$89, 0, MATCH(F71,$G$67:$AA$67,0))+C40</f>
        <v>5.5125000000000028</v>
      </c>
      <c r="F71" s="157">
        <v>2110</v>
      </c>
      <c r="G71" s="152">
        <f t="shared" si="29"/>
        <v>0</v>
      </c>
      <c r="H71" s="153">
        <f t="shared" si="29"/>
        <v>0</v>
      </c>
      <c r="I71" s="153">
        <f t="shared" si="29"/>
        <v>0</v>
      </c>
      <c r="J71" s="153">
        <f t="shared" ref="J71:AA71" ca="1" si="35">IF(J$36&gt;=$F71,$E71*INDEX($F$13:$Z$13,MATCH(J$67-$F71,$F$12:$Z$12,0)),0)</f>
        <v>0</v>
      </c>
      <c r="K71" s="153">
        <f t="shared" ca="1" si="35"/>
        <v>0</v>
      </c>
      <c r="L71" s="153">
        <f t="shared" ca="1" si="35"/>
        <v>0</v>
      </c>
      <c r="M71" s="153">
        <f t="shared" ca="1" si="35"/>
        <v>0</v>
      </c>
      <c r="N71" s="153">
        <f t="shared" ca="1" si="35"/>
        <v>0</v>
      </c>
      <c r="O71" s="153">
        <f t="shared" ca="1" si="35"/>
        <v>0.63419677134161445</v>
      </c>
      <c r="P71" s="153">
        <f t="shared" ca="1" si="35"/>
        <v>1.4213926772823822</v>
      </c>
      <c r="Q71" s="153">
        <f t="shared" ca="1" si="35"/>
        <v>1.4951764192861667</v>
      </c>
      <c r="R71" s="153">
        <f t="shared" ca="1" si="35"/>
        <v>1.0699945887190354</v>
      </c>
      <c r="S71" s="153">
        <f t="shared" ca="1" si="35"/>
        <v>0.56672292002424196</v>
      </c>
      <c r="T71" s="153">
        <f t="shared" ca="1" si="35"/>
        <v>0.22963084713292642</v>
      </c>
      <c r="U71" s="153">
        <f t="shared" ca="1" si="35"/>
        <v>7.2358208766057613E-2</v>
      </c>
      <c r="V71" s="153">
        <f t="shared" ca="1" si="35"/>
        <v>2.2050000000000011E-2</v>
      </c>
      <c r="W71" s="153">
        <f t="shared" ca="1" si="35"/>
        <v>0</v>
      </c>
      <c r="X71" s="153">
        <f t="shared" ca="1" si="35"/>
        <v>0</v>
      </c>
      <c r="Y71" s="153">
        <f t="shared" ca="1" si="35"/>
        <v>0</v>
      </c>
      <c r="Z71" s="153">
        <f t="shared" ca="1" si="35"/>
        <v>0</v>
      </c>
      <c r="AA71" s="154">
        <f t="shared" ca="1" si="35"/>
        <v>0</v>
      </c>
      <c r="AD71" s="170">
        <f ca="1"/>
        <v>5.5125000000000028</v>
      </c>
      <c r="AE71" s="157">
        <v>2110</v>
      </c>
      <c r="AF71" s="152">
        <f>IF(G$36&gt;=$F71,$AD71-SUM($G71:G71),0)</f>
        <v>0</v>
      </c>
      <c r="AG71" s="153">
        <f>IF(H$36&gt;=$F71,$AD71-SUM($G71:H71),0)</f>
        <v>0</v>
      </c>
      <c r="AH71" s="153">
        <f>IF(I$36&gt;=$F71,$AD71-SUM($G71:I71),0)</f>
        <v>0</v>
      </c>
      <c r="AI71" s="153">
        <f ca="1">IF(J$36&gt;=$F71,$AD71-SUM($G71:J71),0)</f>
        <v>5.5125000000000028</v>
      </c>
      <c r="AJ71" s="153">
        <f ca="1">IF(K$36&gt;=$F71,$AD71-SUM($G71:K71),0)</f>
        <v>5.5125000000000028</v>
      </c>
      <c r="AK71" s="153">
        <f ca="1">IF(L$36&gt;=$F71,$AD71-SUM($G71:L71),0)</f>
        <v>5.5125000000000028</v>
      </c>
      <c r="AL71" s="153">
        <f ca="1">IF(M$36&gt;=$F71,$AD71-SUM($G71:M71),0)</f>
        <v>5.5125000000000028</v>
      </c>
      <c r="AM71" s="153">
        <f ca="1">IF(N$36&gt;=$F71,$AD71-SUM($G71:N71),0)</f>
        <v>5.5125000000000028</v>
      </c>
      <c r="AN71" s="153">
        <f ca="1">IF(O$36&gt;=$F71,$AD71-SUM($G71:O71),0)</f>
        <v>4.8783032286583881</v>
      </c>
      <c r="AO71" s="153">
        <f ca="1">IF(P$36&gt;=$F71,$AD71-SUM($G71:P71),0)</f>
        <v>3.4569105513760063</v>
      </c>
      <c r="AP71" s="153">
        <f ca="1">IF(Q$36&gt;=$F71,$AD71-SUM($G71:Q71),0)</f>
        <v>1.9617341320898394</v>
      </c>
      <c r="AQ71" s="153">
        <f ca="1">IF(R$36&gt;=$F71,$AD71-SUM($G71:R71),0)</f>
        <v>0.89173954337080374</v>
      </c>
      <c r="AR71" s="153">
        <f ca="1">IF(S$36&gt;=$F71,$AD71-SUM($G71:S71),0)</f>
        <v>0.32501662334656167</v>
      </c>
      <c r="AS71" s="153">
        <f ca="1">IF(T$36&gt;=$F71,$AD71-SUM($G71:T71),0)</f>
        <v>9.5385776213634976E-2</v>
      </c>
      <c r="AT71" s="153">
        <f ca="1">IF(U$36&gt;=$F71,$AD71-SUM($G71:U71),0)</f>
        <v>2.3027567447577724E-2</v>
      </c>
      <c r="AU71" s="153">
        <f ca="1">IF(V$36&gt;=$F71,$AD71-SUM($G71:V71),0)</f>
        <v>9.7756744757759861E-4</v>
      </c>
      <c r="AV71" s="153">
        <f ca="1">IF(W$36&gt;=$F71,$AD71-SUM($G71:W71),0)</f>
        <v>9.7756744757759861E-4</v>
      </c>
      <c r="AW71" s="153">
        <f ca="1">IF(X$36&gt;=$F71,$AD71-SUM($G71:X71),0)</f>
        <v>9.7756744757759861E-4</v>
      </c>
      <c r="AX71" s="153">
        <f ca="1">IF(Y$36&gt;=$F71,$AD71-SUM($G71:Y71),0)</f>
        <v>9.7756744757759861E-4</v>
      </c>
      <c r="AY71" s="153">
        <f ca="1">IF(Z$36&gt;=$F71,$AD71-SUM($G71:Z71),0)</f>
        <v>9.7756744757759861E-4</v>
      </c>
      <c r="AZ71" s="154">
        <f ca="1">IF(AA$36&gt;=$F71,$AD71-SUM($G71:AA71),0)</f>
        <v>9.7756744757759861E-4</v>
      </c>
    </row>
    <row r="72" spans="2:52" x14ac:dyDescent="0.3">
      <c r="B72" s="177">
        <f t="shared" ca="1" si="31"/>
        <v>68.20504540480303</v>
      </c>
      <c r="C72" s="182">
        <f t="shared" ca="1" si="28"/>
        <v>30.340205727867406</v>
      </c>
      <c r="D72" s="177">
        <f t="shared" ca="1" si="32"/>
        <v>121.55062500000001</v>
      </c>
      <c r="E72" s="170" cm="1">
        <f t="array" aca="1" ref="E72" ca="1">INDEX($G$89:$AA$89, 0, MATCH(F72,$G$67:$AA$67,0))+C41</f>
        <v>5.788125000000008</v>
      </c>
      <c r="F72" s="157">
        <v>2120</v>
      </c>
      <c r="G72" s="152">
        <f t="shared" si="29"/>
        <v>0</v>
      </c>
      <c r="H72" s="153">
        <f t="shared" si="29"/>
        <v>0</v>
      </c>
      <c r="I72" s="153">
        <f t="shared" si="29"/>
        <v>0</v>
      </c>
      <c r="J72" s="153">
        <f t="shared" si="29"/>
        <v>0</v>
      </c>
      <c r="K72" s="153">
        <f t="shared" ref="K72:AA72" ca="1" si="36">IF(K$36&gt;=$F72,$E72*INDEX($F$13:$Z$13,MATCH(K$67-$F72,$F$12:$Z$12,0)),0)</f>
        <v>0</v>
      </c>
      <c r="L72" s="153">
        <f t="shared" ca="1" si="36"/>
        <v>0</v>
      </c>
      <c r="M72" s="153">
        <f t="shared" ca="1" si="36"/>
        <v>0</v>
      </c>
      <c r="N72" s="153">
        <f t="shared" ca="1" si="36"/>
        <v>0</v>
      </c>
      <c r="O72" s="153">
        <f t="shared" ca="1" si="36"/>
        <v>0</v>
      </c>
      <c r="P72" s="153">
        <f t="shared" ca="1" si="36"/>
        <v>0.66590660990869577</v>
      </c>
      <c r="Q72" s="153">
        <f t="shared" ca="1" si="36"/>
        <v>1.4924623111465027</v>
      </c>
      <c r="R72" s="153">
        <f t="shared" ca="1" si="36"/>
        <v>1.5699352402504765</v>
      </c>
      <c r="S72" s="153">
        <f t="shared" ca="1" si="36"/>
        <v>1.1234943181549883</v>
      </c>
      <c r="T72" s="153">
        <f t="shared" ca="1" si="36"/>
        <v>0.59505906602545455</v>
      </c>
      <c r="U72" s="153">
        <f t="shared" ca="1" si="36"/>
        <v>0.24111238948957295</v>
      </c>
      <c r="V72" s="153">
        <f t="shared" ca="1" si="36"/>
        <v>7.5976119204360551E-2</v>
      </c>
      <c r="W72" s="153">
        <f t="shared" ca="1" si="36"/>
        <v>2.3152500000000031E-2</v>
      </c>
      <c r="X72" s="153">
        <f t="shared" ca="1" si="36"/>
        <v>0</v>
      </c>
      <c r="Y72" s="153">
        <f t="shared" ca="1" si="36"/>
        <v>0</v>
      </c>
      <c r="Z72" s="153">
        <f t="shared" ca="1" si="36"/>
        <v>0</v>
      </c>
      <c r="AA72" s="154">
        <f t="shared" ca="1" si="36"/>
        <v>0</v>
      </c>
      <c r="AD72" s="170">
        <f ca="1"/>
        <v>5.788125000000008</v>
      </c>
      <c r="AE72" s="157">
        <v>2120</v>
      </c>
      <c r="AF72" s="152">
        <f>IF(G$36&gt;=$F72,$AD72-SUM($G72:G72),0)</f>
        <v>0</v>
      </c>
      <c r="AG72" s="153">
        <f>IF(H$36&gt;=$F72,$AD72-SUM($G72:H72),0)</f>
        <v>0</v>
      </c>
      <c r="AH72" s="153">
        <f>IF(I$36&gt;=$F72,$AD72-SUM($G72:I72),0)</f>
        <v>0</v>
      </c>
      <c r="AI72" s="153">
        <f>IF(J$36&gt;=$F72,$AD72-SUM($G72:J72),0)</f>
        <v>0</v>
      </c>
      <c r="AJ72" s="153">
        <f ca="1">IF(K$36&gt;=$F72,$AD72-SUM($G72:K72),0)</f>
        <v>5.788125000000008</v>
      </c>
      <c r="AK72" s="153">
        <f ca="1">IF(L$36&gt;=$F72,$AD72-SUM($G72:L72),0)</f>
        <v>5.788125000000008</v>
      </c>
      <c r="AL72" s="153">
        <f ca="1">IF(M$36&gt;=$F72,$AD72-SUM($G72:M72),0)</f>
        <v>5.788125000000008</v>
      </c>
      <c r="AM72" s="153">
        <f ca="1">IF(N$36&gt;=$F72,$AD72-SUM($G72:N72),0)</f>
        <v>5.788125000000008</v>
      </c>
      <c r="AN72" s="153">
        <f ca="1">IF(O$36&gt;=$F72,$AD72-SUM($G72:O72),0)</f>
        <v>5.788125000000008</v>
      </c>
      <c r="AO72" s="153">
        <f ca="1">IF(P$36&gt;=$F72,$AD72-SUM($G72:P72),0)</f>
        <v>5.1222183900913123</v>
      </c>
      <c r="AP72" s="153">
        <f ca="1">IF(Q$36&gt;=$F72,$AD72-SUM($G72:Q72),0)</f>
        <v>3.6297560789448093</v>
      </c>
      <c r="AQ72" s="153">
        <f ca="1">IF(R$36&gt;=$F72,$AD72-SUM($G72:R72),0)</f>
        <v>2.0598208386943329</v>
      </c>
      <c r="AR72" s="153">
        <f ca="1">IF(S$36&gt;=$F72,$AD72-SUM($G72:S72),0)</f>
        <v>0.93632652053934429</v>
      </c>
      <c r="AS72" s="153">
        <f ca="1">IF(T$36&gt;=$F72,$AD72-SUM($G72:T72),0)</f>
        <v>0.34126745451388985</v>
      </c>
      <c r="AT72" s="153">
        <f ca="1">IF(U$36&gt;=$F72,$AD72-SUM($G72:U72),0)</f>
        <v>0.10015506502431659</v>
      </c>
      <c r="AU72" s="153">
        <f ca="1">IF(V$36&gt;=$F72,$AD72-SUM($G72:V72),0)</f>
        <v>2.4178945819955722E-2</v>
      </c>
      <c r="AV72" s="153">
        <f ca="1">IF(W$36&gt;=$F72,$AD72-SUM($G72:W72),0)</f>
        <v>1.0264458199555904E-3</v>
      </c>
      <c r="AW72" s="153">
        <f ca="1">IF(X$36&gt;=$F72,$AD72-SUM($G72:X72),0)</f>
        <v>1.0264458199555904E-3</v>
      </c>
      <c r="AX72" s="153">
        <f ca="1">IF(Y$36&gt;=$F72,$AD72-SUM($G72:Y72),0)</f>
        <v>1.0264458199555904E-3</v>
      </c>
      <c r="AY72" s="153">
        <f ca="1">IF(Z$36&gt;=$F72,$AD72-SUM($G72:Z72),0)</f>
        <v>1.0264458199555904E-3</v>
      </c>
      <c r="AZ72" s="154">
        <f ca="1">IF(AA$36&gt;=$F72,$AD72-SUM($G72:AA72),0)</f>
        <v>1.0264458199555904E-3</v>
      </c>
    </row>
    <row r="73" spans="2:52" x14ac:dyDescent="0.3">
      <c r="B73" s="177">
        <f t="shared" ca="1" si="31"/>
        <v>85.45387978607792</v>
      </c>
      <c r="C73" s="182">
        <f t="shared" ca="1" si="28"/>
        <v>17.248834381274889</v>
      </c>
      <c r="D73" s="177">
        <f t="shared" ca="1" si="32"/>
        <v>139.13285958499529</v>
      </c>
      <c r="E73" s="170" cm="1">
        <f t="array" aca="1" ref="E73" ca="1">INDEX($G$89:$AA$89, 0, MATCH(F73,$G$67:$AA$67,0))+C42</f>
        <v>17.582234584995277</v>
      </c>
      <c r="F73" s="157">
        <v>2130</v>
      </c>
      <c r="G73" s="152">
        <f t="shared" si="29"/>
        <v>0</v>
      </c>
      <c r="H73" s="153">
        <f t="shared" si="29"/>
        <v>0</v>
      </c>
      <c r="I73" s="153">
        <f t="shared" si="29"/>
        <v>0</v>
      </c>
      <c r="J73" s="153">
        <f t="shared" si="29"/>
        <v>0</v>
      </c>
      <c r="K73" s="153">
        <f t="shared" si="29"/>
        <v>0</v>
      </c>
      <c r="L73" s="153">
        <f t="shared" ref="L73:AA73" ca="1" si="37">IF(L$36&gt;=$F73,$E73*INDEX($F$13:$Z$13,MATCH(L$67-$F73,$F$12:$Z$12,0)),0)</f>
        <v>0</v>
      </c>
      <c r="M73" s="153">
        <f t="shared" ca="1" si="37"/>
        <v>0</v>
      </c>
      <c r="N73" s="153">
        <f t="shared" ca="1" si="37"/>
        <v>0</v>
      </c>
      <c r="O73" s="153">
        <f t="shared" ca="1" si="37"/>
        <v>0</v>
      </c>
      <c r="P73" s="153">
        <f t="shared" ca="1" si="37"/>
        <v>0</v>
      </c>
      <c r="Q73" s="153">
        <f t="shared" ca="1" si="37"/>
        <v>2.0227839286666431</v>
      </c>
      <c r="R73" s="153">
        <f t="shared" ca="1" si="37"/>
        <v>4.5335618121312145</v>
      </c>
      <c r="S73" s="153">
        <f t="shared" ca="1" si="37"/>
        <v>4.768896607681202</v>
      </c>
      <c r="T73" s="153">
        <f t="shared" ca="1" si="37"/>
        <v>3.4127702246772995</v>
      </c>
      <c r="U73" s="153">
        <f t="shared" ca="1" si="37"/>
        <v>1.8075746620516524</v>
      </c>
      <c r="V73" s="153">
        <f t="shared" ca="1" si="37"/>
        <v>0.73241241219814979</v>
      </c>
      <c r="W73" s="153">
        <f t="shared" ca="1" si="37"/>
        <v>0.23078802733331263</v>
      </c>
      <c r="X73" s="153">
        <f t="shared" ca="1" si="37"/>
        <v>7.0328938339981106E-2</v>
      </c>
      <c r="Y73" s="153">
        <f t="shared" ca="1" si="37"/>
        <v>0</v>
      </c>
      <c r="Z73" s="153">
        <f t="shared" ca="1" si="37"/>
        <v>0</v>
      </c>
      <c r="AA73" s="154">
        <f t="shared" ca="1" si="37"/>
        <v>0</v>
      </c>
      <c r="AD73" s="170">
        <f ca="1"/>
        <v>17.582234584995277</v>
      </c>
      <c r="AE73" s="157">
        <v>2130</v>
      </c>
      <c r="AF73" s="152">
        <f>IF(G$36&gt;=$F73,$AD73-SUM($G73:G73),0)</f>
        <v>0</v>
      </c>
      <c r="AG73" s="153">
        <f>IF(H$36&gt;=$F73,$AD73-SUM($G73:H73),0)</f>
        <v>0</v>
      </c>
      <c r="AH73" s="153">
        <f>IF(I$36&gt;=$F73,$AD73-SUM($G73:I73),0)</f>
        <v>0</v>
      </c>
      <c r="AI73" s="153">
        <f>IF(J$36&gt;=$F73,$AD73-SUM($G73:J73),0)</f>
        <v>0</v>
      </c>
      <c r="AJ73" s="153">
        <f>IF(K$36&gt;=$F73,$AD73-SUM($G73:K73),0)</f>
        <v>0</v>
      </c>
      <c r="AK73" s="153">
        <f ca="1">IF(L$36&gt;=$F73,$AD73-SUM($G73:L73),0)</f>
        <v>17.582234584995277</v>
      </c>
      <c r="AL73" s="153">
        <f ca="1">IF(M$36&gt;=$F73,$AD73-SUM($G73:M73),0)</f>
        <v>17.582234584995277</v>
      </c>
      <c r="AM73" s="153">
        <f ca="1">IF(N$36&gt;=$F73,$AD73-SUM($G73:N73),0)</f>
        <v>17.582234584995277</v>
      </c>
      <c r="AN73" s="153">
        <f ca="1">IF(O$36&gt;=$F73,$AD73-SUM($G73:O73),0)</f>
        <v>17.582234584995277</v>
      </c>
      <c r="AO73" s="153">
        <f ca="1">IF(P$36&gt;=$F73,$AD73-SUM($G73:P73),0)</f>
        <v>17.582234584995277</v>
      </c>
      <c r="AP73" s="153">
        <f ca="1">IF(Q$36&gt;=$F73,$AD73-SUM($G73:Q73),0)</f>
        <v>15.559450656328634</v>
      </c>
      <c r="AQ73" s="153">
        <f ca="1">IF(R$36&gt;=$F73,$AD73-SUM($G73:R73),0)</f>
        <v>11.02588884419742</v>
      </c>
      <c r="AR73" s="153">
        <f ca="1">IF(S$36&gt;=$F73,$AD73-SUM($G73:S73),0)</f>
        <v>6.2569922365162185</v>
      </c>
      <c r="AS73" s="153">
        <f ca="1">IF(T$36&gt;=$F73,$AD73-SUM($G73:T73),0)</f>
        <v>2.8442220118389194</v>
      </c>
      <c r="AT73" s="153">
        <f ca="1">IF(U$36&gt;=$F73,$AD73-SUM($G73:U73),0)</f>
        <v>1.0366473497872661</v>
      </c>
      <c r="AU73" s="153">
        <f ca="1">IF(V$36&gt;=$F73,$AD73-SUM($G73:V73),0)</f>
        <v>0.30423493758911491</v>
      </c>
      <c r="AV73" s="153">
        <f ca="1">IF(W$36&gt;=$F73,$AD73-SUM($G73:W73),0)</f>
        <v>7.3446910255803743E-2</v>
      </c>
      <c r="AW73" s="153">
        <f ca="1">IF(X$36&gt;=$F73,$AD73-SUM($G73:X73),0)</f>
        <v>3.1179719158238584E-3</v>
      </c>
      <c r="AX73" s="153">
        <f ca="1">IF(Y$36&gt;=$F73,$AD73-SUM($G73:Y73),0)</f>
        <v>3.1179719158238584E-3</v>
      </c>
      <c r="AY73" s="153">
        <f ca="1">IF(Z$36&gt;=$F73,$AD73-SUM($G73:Z73),0)</f>
        <v>3.1179719158238584E-3</v>
      </c>
      <c r="AZ73" s="154">
        <f ca="1">IF(AA$36&gt;=$F73,$AD73-SUM($G73:AA73),0)</f>
        <v>3.1179719158238584E-3</v>
      </c>
    </row>
    <row r="74" spans="2:52" x14ac:dyDescent="0.3">
      <c r="B74" s="177">
        <f t="shared" ca="1" si="31"/>
        <v>87.264175169912335</v>
      </c>
      <c r="C74" s="182">
        <f t="shared" ca="1" si="28"/>
        <v>1.8102953838344149</v>
      </c>
      <c r="D74" s="177">
        <f t="shared" ca="1" si="32"/>
        <v>171.87440373943565</v>
      </c>
      <c r="E74" s="170" cm="1">
        <f t="array" aca="1" ref="E74" ca="1">INDEX($G$89:$AA$89, 0, MATCH(F74,$G$67:$AA$67,0))+C43</f>
        <v>32.741544154440376</v>
      </c>
      <c r="F74" s="157">
        <v>2140</v>
      </c>
      <c r="G74" s="152">
        <f t="shared" si="29"/>
        <v>0</v>
      </c>
      <c r="H74" s="153">
        <f t="shared" si="29"/>
        <v>0</v>
      </c>
      <c r="I74" s="153">
        <f t="shared" si="29"/>
        <v>0</v>
      </c>
      <c r="J74" s="153">
        <f t="shared" si="29"/>
        <v>0</v>
      </c>
      <c r="K74" s="153">
        <f t="shared" si="29"/>
        <v>0</v>
      </c>
      <c r="L74" s="153">
        <f t="shared" si="29"/>
        <v>0</v>
      </c>
      <c r="M74" s="153">
        <f t="shared" ref="M74:AA74" ca="1" si="38">IF(M$36&gt;=$F74,$E74*INDEX($F$13:$Z$13,MATCH(M$67-$F74,$F$12:$Z$12,0)),0)</f>
        <v>0</v>
      </c>
      <c r="N74" s="153">
        <f t="shared" ca="1" si="38"/>
        <v>0</v>
      </c>
      <c r="O74" s="153">
        <f t="shared" ca="1" si="38"/>
        <v>0</v>
      </c>
      <c r="P74" s="153">
        <f t="shared" ca="1" si="38"/>
        <v>0</v>
      </c>
      <c r="Q74" s="153">
        <f t="shared" ca="1" si="38"/>
        <v>0</v>
      </c>
      <c r="R74" s="153">
        <f t="shared" ca="1" si="38"/>
        <v>3.7668175222648506</v>
      </c>
      <c r="S74" s="153">
        <f t="shared" ca="1" si="38"/>
        <v>8.4423748034538431</v>
      </c>
      <c r="T74" s="153">
        <f t="shared" ca="1" si="38"/>
        <v>8.8806140137389686</v>
      </c>
      <c r="U74" s="153">
        <f t="shared" ca="1" si="38"/>
        <v>6.3552426433662683</v>
      </c>
      <c r="V74" s="153">
        <f t="shared" ca="1" si="38"/>
        <v>3.3660559654071815</v>
      </c>
      <c r="W74" s="153">
        <f t="shared" ca="1" si="38"/>
        <v>1.3638945162130167</v>
      </c>
      <c r="X74" s="153">
        <f t="shared" ca="1" si="38"/>
        <v>0.42977224258505009</v>
      </c>
      <c r="Y74" s="153">
        <f t="shared" ca="1" si="38"/>
        <v>0.1309661766177615</v>
      </c>
      <c r="Z74" s="153">
        <f t="shared" ca="1" si="38"/>
        <v>0</v>
      </c>
      <c r="AA74" s="154">
        <f t="shared" ca="1" si="38"/>
        <v>0</v>
      </c>
      <c r="AD74" s="170">
        <f ca="1"/>
        <v>32.741544154440376</v>
      </c>
      <c r="AE74" s="157">
        <v>2140</v>
      </c>
      <c r="AF74" s="152">
        <f>IF(G$36&gt;=$F74,$AD74-SUM($G74:G74),0)</f>
        <v>0</v>
      </c>
      <c r="AG74" s="153">
        <f>IF(H$36&gt;=$F74,$AD74-SUM($G74:H74),0)</f>
        <v>0</v>
      </c>
      <c r="AH74" s="153">
        <f>IF(I$36&gt;=$F74,$AD74-SUM($G74:I74),0)</f>
        <v>0</v>
      </c>
      <c r="AI74" s="153">
        <f>IF(J$36&gt;=$F74,$AD74-SUM($G74:J74),0)</f>
        <v>0</v>
      </c>
      <c r="AJ74" s="153">
        <f>IF(K$36&gt;=$F74,$AD74-SUM($G74:K74),0)</f>
        <v>0</v>
      </c>
      <c r="AK74" s="153">
        <f>IF(L$36&gt;=$F74,$AD74-SUM($G74:L74),0)</f>
        <v>0</v>
      </c>
      <c r="AL74" s="153">
        <f ca="1">IF(M$36&gt;=$F74,$AD74-SUM($G74:M74),0)</f>
        <v>32.741544154440376</v>
      </c>
      <c r="AM74" s="153">
        <f ca="1">IF(N$36&gt;=$F74,$AD74-SUM($G74:N74),0)</f>
        <v>32.741544154440376</v>
      </c>
      <c r="AN74" s="153">
        <f ca="1">IF(O$36&gt;=$F74,$AD74-SUM($G74:O74),0)</f>
        <v>32.741544154440376</v>
      </c>
      <c r="AO74" s="153">
        <f ca="1">IF(P$36&gt;=$F74,$AD74-SUM($G74:P74),0)</f>
        <v>32.741544154440376</v>
      </c>
      <c r="AP74" s="153">
        <f ca="1">IF(Q$36&gt;=$F74,$AD74-SUM($G74:Q74),0)</f>
        <v>32.741544154440376</v>
      </c>
      <c r="AQ74" s="153">
        <f ca="1">IF(R$36&gt;=$F74,$AD74-SUM($G74:R74),0)</f>
        <v>28.974726632175525</v>
      </c>
      <c r="AR74" s="153">
        <f ca="1">IF(S$36&gt;=$F74,$AD74-SUM($G74:S74),0)</f>
        <v>20.532351828721684</v>
      </c>
      <c r="AS74" s="153">
        <f ca="1">IF(T$36&gt;=$F74,$AD74-SUM($G74:T74),0)</f>
        <v>11.651737814982717</v>
      </c>
      <c r="AT74" s="153">
        <f ca="1">IF(U$36&gt;=$F74,$AD74-SUM($G74:U74),0)</f>
        <v>5.2964951716164492</v>
      </c>
      <c r="AU74" s="153">
        <f ca="1">IF(V$36&gt;=$F74,$AD74-SUM($G74:V74),0)</f>
        <v>1.9304392062092681</v>
      </c>
      <c r="AV74" s="153">
        <f ca="1">IF(W$36&gt;=$F74,$AD74-SUM($G74:W74),0)</f>
        <v>0.56654468999624896</v>
      </c>
      <c r="AW74" s="153">
        <f ca="1">IF(X$36&gt;=$F74,$AD74-SUM($G74:X74),0)</f>
        <v>0.13677244741119665</v>
      </c>
      <c r="AX74" s="153">
        <f ca="1">IF(Y$36&gt;=$F74,$AD74-SUM($G74:Y74),0)</f>
        <v>5.8062707934354307E-3</v>
      </c>
      <c r="AY74" s="153">
        <f ca="1">IF(Z$36&gt;=$F74,$AD74-SUM($G74:Z74),0)</f>
        <v>5.8062707934354307E-3</v>
      </c>
      <c r="AZ74" s="154">
        <f ca="1">IF(AA$36&gt;=$F74,$AD74-SUM($G74:AA74),0)</f>
        <v>5.8062707934354307E-3</v>
      </c>
    </row>
    <row r="75" spans="2:52" x14ac:dyDescent="0.3">
      <c r="B75" s="177">
        <f t="shared" ca="1" si="31"/>
        <v>88.147170789258269</v>
      </c>
      <c r="C75" s="182">
        <f t="shared" ca="1" si="28"/>
        <v>0.88299561934594095</v>
      </c>
      <c r="D75" s="177">
        <f t="shared" ca="1" si="32"/>
        <v>207.59150568216558</v>
      </c>
      <c r="E75" s="170" cm="1">
        <f t="array" aca="1" ref="E75" ca="1">INDEX($G$89:$AA$89, 0, MATCH(F75,$G$67:$AA$67,0))+C44</f>
        <v>35.717101942729911</v>
      </c>
      <c r="F75" s="157">
        <v>2150</v>
      </c>
      <c r="G75" s="152">
        <f t="shared" si="29"/>
        <v>0</v>
      </c>
      <c r="H75" s="153">
        <f t="shared" si="29"/>
        <v>0</v>
      </c>
      <c r="I75" s="153">
        <f t="shared" si="29"/>
        <v>0</v>
      </c>
      <c r="J75" s="153">
        <f t="shared" si="29"/>
        <v>0</v>
      </c>
      <c r="K75" s="153">
        <f t="shared" si="29"/>
        <v>0</v>
      </c>
      <c r="L75" s="153">
        <f t="shared" si="29"/>
        <v>0</v>
      </c>
      <c r="M75" s="153">
        <f t="shared" si="29"/>
        <v>0</v>
      </c>
      <c r="N75" s="153">
        <f t="shared" ref="N75:AA75" ca="1" si="39">IF(N$36&gt;=$F75,$E75*INDEX($F$13:$Z$13,MATCH(N$67-$F75,$F$12:$Z$12,0)),0)</f>
        <v>0</v>
      </c>
      <c r="O75" s="153">
        <f t="shared" ca="1" si="39"/>
        <v>0</v>
      </c>
      <c r="P75" s="153">
        <f t="shared" ca="1" si="39"/>
        <v>0</v>
      </c>
      <c r="Q75" s="153">
        <f t="shared" ca="1" si="39"/>
        <v>0</v>
      </c>
      <c r="R75" s="153">
        <f t="shared" ca="1" si="39"/>
        <v>0</v>
      </c>
      <c r="S75" s="153">
        <f t="shared" ca="1" si="39"/>
        <v>4.109146618368908</v>
      </c>
      <c r="T75" s="153">
        <f t="shared" ca="1" si="39"/>
        <v>9.2096194385749879</v>
      </c>
      <c r="U75" s="153">
        <f t="shared" ca="1" si="39"/>
        <v>9.6876859120199317</v>
      </c>
      <c r="V75" s="153">
        <f t="shared" ca="1" si="39"/>
        <v>6.9328083090153534</v>
      </c>
      <c r="W75" s="153">
        <f t="shared" ca="1" si="39"/>
        <v>3.6719637746553122</v>
      </c>
      <c r="X75" s="153">
        <f t="shared" ca="1" si="39"/>
        <v>1.4878455104294164</v>
      </c>
      <c r="Y75" s="153">
        <f t="shared" ca="1" si="39"/>
        <v>0.46883002610260527</v>
      </c>
      <c r="Z75" s="153">
        <f t="shared" ca="1" si="39"/>
        <v>0.14286840777091964</v>
      </c>
      <c r="AA75" s="154">
        <f t="shared" ca="1" si="39"/>
        <v>0</v>
      </c>
      <c r="AD75" s="170">
        <f ca="1"/>
        <v>35.717101942729911</v>
      </c>
      <c r="AE75" s="157">
        <v>2150</v>
      </c>
      <c r="AF75" s="152">
        <f>IF(G$36&gt;=$F75,$AD75-SUM($G75:G75),0)</f>
        <v>0</v>
      </c>
      <c r="AG75" s="153">
        <f>IF(H$36&gt;=$F75,$AD75-SUM($G75:H75),0)</f>
        <v>0</v>
      </c>
      <c r="AH75" s="153">
        <f>IF(I$36&gt;=$F75,$AD75-SUM($G75:I75),0)</f>
        <v>0</v>
      </c>
      <c r="AI75" s="153">
        <f>IF(J$36&gt;=$F75,$AD75-SUM($G75:J75),0)</f>
        <v>0</v>
      </c>
      <c r="AJ75" s="153">
        <f>IF(K$36&gt;=$F75,$AD75-SUM($G75:K75),0)</f>
        <v>0</v>
      </c>
      <c r="AK75" s="153">
        <f>IF(L$36&gt;=$F75,$AD75-SUM($G75:L75),0)</f>
        <v>0</v>
      </c>
      <c r="AL75" s="153">
        <f>IF(M$36&gt;=$F75,$AD75-SUM($G75:M75),0)</f>
        <v>0</v>
      </c>
      <c r="AM75" s="153">
        <f ca="1">IF(N$36&gt;=$F75,$AD75-SUM($G75:N75),0)</f>
        <v>35.717101942729911</v>
      </c>
      <c r="AN75" s="153">
        <f ca="1">IF(O$36&gt;=$F75,$AD75-SUM($G75:O75),0)</f>
        <v>35.717101942729911</v>
      </c>
      <c r="AO75" s="153">
        <f ca="1">IF(P$36&gt;=$F75,$AD75-SUM($G75:P75),0)</f>
        <v>35.717101942729911</v>
      </c>
      <c r="AP75" s="153">
        <f ca="1">IF(Q$36&gt;=$F75,$AD75-SUM($G75:Q75),0)</f>
        <v>35.717101942729911</v>
      </c>
      <c r="AQ75" s="153">
        <f ca="1">IF(R$36&gt;=$F75,$AD75-SUM($G75:R75),0)</f>
        <v>35.717101942729911</v>
      </c>
      <c r="AR75" s="153">
        <f ca="1">IF(S$36&gt;=$F75,$AD75-SUM($G75:S75),0)</f>
        <v>31.607955324361004</v>
      </c>
      <c r="AS75" s="153">
        <f ca="1">IF(T$36&gt;=$F75,$AD75-SUM($G75:T75),0)</f>
        <v>22.398335885786015</v>
      </c>
      <c r="AT75" s="153">
        <f ca="1">IF(U$36&gt;=$F75,$AD75-SUM($G75:U75),0)</f>
        <v>12.710649973766081</v>
      </c>
      <c r="AU75" s="153">
        <f ca="1">IF(V$36&gt;=$F75,$AD75-SUM($G75:V75),0)</f>
        <v>5.7778416647507278</v>
      </c>
      <c r="AV75" s="153">
        <f ca="1">IF(W$36&gt;=$F75,$AD75-SUM($G75:W75),0)</f>
        <v>2.1058778900954138</v>
      </c>
      <c r="AW75" s="153">
        <f ca="1">IF(X$36&gt;=$F75,$AD75-SUM($G75:X75),0)</f>
        <v>0.61803237966599767</v>
      </c>
      <c r="AX75" s="153">
        <f ca="1">IF(Y$36&gt;=$F75,$AD75-SUM($G75:Y75),0)</f>
        <v>0.14920235356338907</v>
      </c>
      <c r="AY75" s="153">
        <f ca="1">IF(Z$36&gt;=$F75,$AD75-SUM($G75:Z75),0)</f>
        <v>6.3339457924698195E-3</v>
      </c>
      <c r="AZ75" s="154">
        <f ca="1">IF(AA$36&gt;=$F75,$AD75-SUM($G75:AA75),0)</f>
        <v>6.3339457924698195E-3</v>
      </c>
    </row>
    <row r="76" spans="2:52" x14ac:dyDescent="0.3">
      <c r="B76" s="177">
        <f t="shared" ca="1" si="31"/>
        <v>97.578219373486434</v>
      </c>
      <c r="C76" s="182">
        <f t="shared" ca="1" si="28"/>
        <v>9.4310485842281686</v>
      </c>
      <c r="D76" s="177">
        <f t="shared" ca="1" si="32"/>
        <v>237.38141364144911</v>
      </c>
      <c r="E76" s="170" cm="1">
        <f t="array" aca="1" ref="E76" ca="1">INDEX($G$89:$AA$89, 0, MATCH(F76,$G$67:$AA$67,0))+C45</f>
        <v>29.789907959283529</v>
      </c>
      <c r="F76" s="157">
        <v>2160</v>
      </c>
      <c r="G76" s="152">
        <f t="shared" si="29"/>
        <v>0</v>
      </c>
      <c r="H76" s="153">
        <f t="shared" si="29"/>
        <v>0</v>
      </c>
      <c r="I76" s="153">
        <f t="shared" si="29"/>
        <v>0</v>
      </c>
      <c r="J76" s="153">
        <f t="shared" si="29"/>
        <v>0</v>
      </c>
      <c r="K76" s="153">
        <f t="shared" si="29"/>
        <v>0</v>
      </c>
      <c r="L76" s="153">
        <f t="shared" si="29"/>
        <v>0</v>
      </c>
      <c r="M76" s="153">
        <f t="shared" si="29"/>
        <v>0</v>
      </c>
      <c r="N76" s="153">
        <f t="shared" si="29"/>
        <v>0</v>
      </c>
      <c r="O76" s="153">
        <f t="shared" ref="O76:AA76" ca="1" si="40">IF(O$36&gt;=$F76,$E76*INDEX($F$13:$Z$13,MATCH(O$67-$F76,$F$12:$Z$12,0)),0)</f>
        <v>0</v>
      </c>
      <c r="P76" s="153">
        <f t="shared" ca="1" si="40"/>
        <v>0</v>
      </c>
      <c r="Q76" s="153">
        <f t="shared" ca="1" si="40"/>
        <v>0</v>
      </c>
      <c r="R76" s="153">
        <f t="shared" ca="1" si="40"/>
        <v>0</v>
      </c>
      <c r="S76" s="153">
        <f t="shared" ca="1" si="40"/>
        <v>0</v>
      </c>
      <c r="T76" s="153">
        <f t="shared" ca="1" si="40"/>
        <v>3.4272405344837131</v>
      </c>
      <c r="U76" s="153">
        <f t="shared" ca="1" si="40"/>
        <v>7.6812983274814952</v>
      </c>
      <c r="V76" s="153">
        <f t="shared" ca="1" si="40"/>
        <v>8.0800304604854425</v>
      </c>
      <c r="W76" s="153">
        <f t="shared" ca="1" si="40"/>
        <v>5.7823202385254397</v>
      </c>
      <c r="X76" s="153">
        <f t="shared" ca="1" si="40"/>
        <v>3.0626074604877203</v>
      </c>
      <c r="Y76" s="153">
        <f t="shared" ca="1" si="40"/>
        <v>1.2409400091976746</v>
      </c>
      <c r="Z76" s="153">
        <f t="shared" ca="1" si="40"/>
        <v>0.39102845881895287</v>
      </c>
      <c r="AA76" s="154">
        <f t="shared" ca="1" si="40"/>
        <v>0.11915963183713411</v>
      </c>
      <c r="AD76" s="170">
        <f ca="1"/>
        <v>29.789907959283529</v>
      </c>
      <c r="AE76" s="157">
        <v>2160</v>
      </c>
      <c r="AF76" s="152">
        <f>IF(G$36&gt;=$F76,$AD76-SUM($G76:G76),0)</f>
        <v>0</v>
      </c>
      <c r="AG76" s="153">
        <f>IF(H$36&gt;=$F76,$AD76-SUM($G76:H76),0)</f>
        <v>0</v>
      </c>
      <c r="AH76" s="153">
        <f>IF(I$36&gt;=$F76,$AD76-SUM($G76:I76),0)</f>
        <v>0</v>
      </c>
      <c r="AI76" s="153">
        <f>IF(J$36&gt;=$F76,$AD76-SUM($G76:J76),0)</f>
        <v>0</v>
      </c>
      <c r="AJ76" s="153">
        <f>IF(K$36&gt;=$F76,$AD76-SUM($G76:K76),0)</f>
        <v>0</v>
      </c>
      <c r="AK76" s="153">
        <f>IF(L$36&gt;=$F76,$AD76-SUM($G76:L76),0)</f>
        <v>0</v>
      </c>
      <c r="AL76" s="153">
        <f>IF(M$36&gt;=$F76,$AD76-SUM($G76:M76),0)</f>
        <v>0</v>
      </c>
      <c r="AM76" s="153">
        <f>IF(N$36&gt;=$F76,$AD76-SUM($G76:N76),0)</f>
        <v>0</v>
      </c>
      <c r="AN76" s="153">
        <f ca="1">IF(O$36&gt;=$F76,$AD76-SUM($G76:O76),0)</f>
        <v>29.789907959283529</v>
      </c>
      <c r="AO76" s="153">
        <f ca="1">IF(P$36&gt;=$F76,$AD76-SUM($G76:P76),0)</f>
        <v>29.789907959283529</v>
      </c>
      <c r="AP76" s="153">
        <f ca="1">IF(Q$36&gt;=$F76,$AD76-SUM($G76:Q76),0)</f>
        <v>29.789907959283529</v>
      </c>
      <c r="AQ76" s="153">
        <f ca="1">IF(R$36&gt;=$F76,$AD76-SUM($G76:R76),0)</f>
        <v>29.789907959283529</v>
      </c>
      <c r="AR76" s="153">
        <f ca="1">IF(S$36&gt;=$F76,$AD76-SUM($G76:S76),0)</f>
        <v>29.789907959283529</v>
      </c>
      <c r="AS76" s="153">
        <f ca="1">IF(T$36&gt;=$F76,$AD76-SUM($G76:T76),0)</f>
        <v>26.362667424799817</v>
      </c>
      <c r="AT76" s="153">
        <f ca="1">IF(U$36&gt;=$F76,$AD76-SUM($G76:U76),0)</f>
        <v>18.681369097318321</v>
      </c>
      <c r="AU76" s="153">
        <f ca="1">IF(V$36&gt;=$F76,$AD76-SUM($G76:V76),0)</f>
        <v>10.601338636832878</v>
      </c>
      <c r="AV76" s="153">
        <f ca="1">IF(W$36&gt;=$F76,$AD76-SUM($G76:W76),0)</f>
        <v>4.8190183983074384</v>
      </c>
      <c r="AW76" s="153">
        <f ca="1">IF(X$36&gt;=$F76,$AD76-SUM($G76:X76),0)</f>
        <v>1.7564109378197195</v>
      </c>
      <c r="AX76" s="153">
        <f ca="1">IF(Y$36&gt;=$F76,$AD76-SUM($G76:Y76),0)</f>
        <v>0.5154709286220438</v>
      </c>
      <c r="AY76" s="153">
        <f ca="1">IF(Z$36&gt;=$F76,$AD76-SUM($G76:Z76),0)</f>
        <v>0.12444246980309259</v>
      </c>
      <c r="AZ76" s="154">
        <f ca="1">IF(AA$36&gt;=$F76,$AD76-SUM($G76:AA76),0)</f>
        <v>5.2828379659572988E-3</v>
      </c>
    </row>
    <row r="77" spans="2:52" x14ac:dyDescent="0.3">
      <c r="B77" s="177">
        <f t="shared" ca="1" si="31"/>
        <v>116.83591907397299</v>
      </c>
      <c r="C77" s="182">
        <f t="shared" ca="1" si="28"/>
        <v>19.257699700486555</v>
      </c>
      <c r="D77" s="177">
        <f t="shared" ca="1" si="32"/>
        <v>259.53117221511781</v>
      </c>
      <c r="E77" s="170" cm="1">
        <f t="array" aca="1" ref="E77" ca="1">INDEX($G$89:$AA$89, 0, MATCH(F77,$G$67:$AA$67,0))+C46</f>
        <v>22.149758573668677</v>
      </c>
      <c r="F77" s="157">
        <v>2170</v>
      </c>
      <c r="G77" s="152">
        <f t="shared" si="29"/>
        <v>0</v>
      </c>
      <c r="H77" s="153">
        <f t="shared" si="29"/>
        <v>0</v>
      </c>
      <c r="I77" s="153">
        <f t="shared" si="29"/>
        <v>0</v>
      </c>
      <c r="J77" s="153">
        <f t="shared" si="29"/>
        <v>0</v>
      </c>
      <c r="K77" s="153">
        <f t="shared" si="29"/>
        <v>0</v>
      </c>
      <c r="L77" s="153">
        <f t="shared" si="29"/>
        <v>0</v>
      </c>
      <c r="M77" s="153">
        <f t="shared" si="29"/>
        <v>0</v>
      </c>
      <c r="N77" s="153">
        <f t="shared" si="29"/>
        <v>0</v>
      </c>
      <c r="O77" s="153">
        <f t="shared" si="29"/>
        <v>0</v>
      </c>
      <c r="P77" s="153">
        <f t="shared" ref="P77:AA77" ca="1" si="41">IF(P$36&gt;=$F77,$E77*INDEX($F$13:$Z$13,MATCH(P$67-$F77,$F$12:$Z$12,0)),0)</f>
        <v>0</v>
      </c>
      <c r="Q77" s="153">
        <f t="shared" ca="1" si="41"/>
        <v>0</v>
      </c>
      <c r="R77" s="153">
        <f t="shared" ca="1" si="41"/>
        <v>0</v>
      </c>
      <c r="S77" s="153">
        <f t="shared" ca="1" si="41"/>
        <v>0</v>
      </c>
      <c r="T77" s="153">
        <f t="shared" ca="1" si="41"/>
        <v>0</v>
      </c>
      <c r="U77" s="153">
        <f t="shared" ca="1" si="41"/>
        <v>2.5482640133182608</v>
      </c>
      <c r="V77" s="153">
        <f t="shared" ca="1" si="41"/>
        <v>5.7112933587637738</v>
      </c>
      <c r="W77" s="153">
        <f t="shared" ca="1" si="41"/>
        <v>6.0077635759149182</v>
      </c>
      <c r="X77" s="153">
        <f t="shared" ca="1" si="41"/>
        <v>4.2993418258972396</v>
      </c>
      <c r="Y77" s="153">
        <f t="shared" ca="1" si="41"/>
        <v>2.2771475477009515</v>
      </c>
      <c r="Z77" s="153">
        <f t="shared" ca="1" si="41"/>
        <v>0.92267897053266867</v>
      </c>
      <c r="AA77" s="154">
        <f t="shared" ca="1" si="41"/>
        <v>0.29074228661973545</v>
      </c>
      <c r="AD77" s="170">
        <f ca="1"/>
        <v>22.149758573668677</v>
      </c>
      <c r="AE77" s="157">
        <v>2170</v>
      </c>
      <c r="AF77" s="152">
        <f>IF(G$36&gt;=$F77,$AD77-SUM($G77:G77),0)</f>
        <v>0</v>
      </c>
      <c r="AG77" s="153">
        <f>IF(H$36&gt;=$F77,$AD77-SUM($G77:H77),0)</f>
        <v>0</v>
      </c>
      <c r="AH77" s="153">
        <f>IF(I$36&gt;=$F77,$AD77-SUM($G77:I77),0)</f>
        <v>0</v>
      </c>
      <c r="AI77" s="153">
        <f>IF(J$36&gt;=$F77,$AD77-SUM($G77:J77),0)</f>
        <v>0</v>
      </c>
      <c r="AJ77" s="153">
        <f>IF(K$36&gt;=$F77,$AD77-SUM($G77:K77),0)</f>
        <v>0</v>
      </c>
      <c r="AK77" s="153">
        <f>IF(L$36&gt;=$F77,$AD77-SUM($G77:L77),0)</f>
        <v>0</v>
      </c>
      <c r="AL77" s="153">
        <f>IF(M$36&gt;=$F77,$AD77-SUM($G77:M77),0)</f>
        <v>0</v>
      </c>
      <c r="AM77" s="153">
        <f>IF(N$36&gt;=$F77,$AD77-SUM($G77:N77),0)</f>
        <v>0</v>
      </c>
      <c r="AN77" s="153">
        <f>IF(O$36&gt;=$F77,$AD77-SUM($G77:O77),0)</f>
        <v>0</v>
      </c>
      <c r="AO77" s="153">
        <f ca="1">IF(P$36&gt;=$F77,$AD77-SUM($G77:P77),0)</f>
        <v>22.149758573668677</v>
      </c>
      <c r="AP77" s="153">
        <f ca="1">IF(Q$36&gt;=$F77,$AD77-SUM($G77:Q77),0)</f>
        <v>22.149758573668677</v>
      </c>
      <c r="AQ77" s="153">
        <f ca="1">IF(R$36&gt;=$F77,$AD77-SUM($G77:R77),0)</f>
        <v>22.149758573668677</v>
      </c>
      <c r="AR77" s="153">
        <f ca="1">IF(S$36&gt;=$F77,$AD77-SUM($G77:S77),0)</f>
        <v>22.149758573668677</v>
      </c>
      <c r="AS77" s="153">
        <f ca="1">IF(T$36&gt;=$F77,$AD77-SUM($G77:T77),0)</f>
        <v>22.149758573668677</v>
      </c>
      <c r="AT77" s="153">
        <f ca="1">IF(U$36&gt;=$F77,$AD77-SUM($G77:U77),0)</f>
        <v>19.601494560350417</v>
      </c>
      <c r="AU77" s="153">
        <f ca="1">IF(V$36&gt;=$F77,$AD77-SUM($G77:V77),0)</f>
        <v>13.890201201586642</v>
      </c>
      <c r="AV77" s="153">
        <f ca="1">IF(W$36&gt;=$F77,$AD77-SUM($G77:W77),0)</f>
        <v>7.8824376256717237</v>
      </c>
      <c r="AW77" s="153">
        <f ca="1">IF(X$36&gt;=$F77,$AD77-SUM($G77:X77),0)</f>
        <v>3.5830957997744832</v>
      </c>
      <c r="AX77" s="153">
        <f ca="1">IF(Y$36&gt;=$F77,$AD77-SUM($G77:Y77),0)</f>
        <v>1.3059482520735308</v>
      </c>
      <c r="AY77" s="153">
        <f ca="1">IF(Z$36&gt;=$F77,$AD77-SUM($G77:Z77),0)</f>
        <v>0.38326928154086204</v>
      </c>
      <c r="AZ77" s="154">
        <f ca="1">IF(AA$36&gt;=$F77,$AD77-SUM($G77:AA77),0)</f>
        <v>9.252699492112626E-2</v>
      </c>
    </row>
    <row r="78" spans="2:52" x14ac:dyDescent="0.3">
      <c r="B78" s="177">
        <f t="shared" ca="1" si="31"/>
        <v>141.49065354720435</v>
      </c>
      <c r="C78" s="182">
        <f t="shared" ca="1" si="28"/>
        <v>24.654734473231365</v>
      </c>
      <c r="D78" s="177">
        <f t="shared" ca="1" si="32"/>
        <v>277.99695176439337</v>
      </c>
      <c r="E78" s="170" cm="1">
        <f t="array" aca="1" ref="E78" ca="1">INDEX($G$89:$AA$89, 0, MATCH(F78,$G$67:$AA$67,0))+C47</f>
        <v>18.465779549275567</v>
      </c>
      <c r="F78" s="157">
        <v>2180</v>
      </c>
      <c r="G78" s="152">
        <f t="shared" si="29"/>
        <v>0</v>
      </c>
      <c r="H78" s="153">
        <f t="shared" si="29"/>
        <v>0</v>
      </c>
      <c r="I78" s="153">
        <f t="shared" si="29"/>
        <v>0</v>
      </c>
      <c r="J78" s="153">
        <f t="shared" si="29"/>
        <v>0</v>
      </c>
      <c r="K78" s="153">
        <f t="shared" si="29"/>
        <v>0</v>
      </c>
      <c r="L78" s="153">
        <f t="shared" si="29"/>
        <v>0</v>
      </c>
      <c r="M78" s="153">
        <f t="shared" si="29"/>
        <v>0</v>
      </c>
      <c r="N78" s="153">
        <f t="shared" si="29"/>
        <v>0</v>
      </c>
      <c r="O78" s="153">
        <f t="shared" si="29"/>
        <v>0</v>
      </c>
      <c r="P78" s="153">
        <f t="shared" si="29"/>
        <v>0</v>
      </c>
      <c r="Q78" s="153">
        <f t="shared" ref="Q78:AA78" ca="1" si="42">IF(Q$36&gt;=$F78,$E78*INDEX($F$13:$Z$13,MATCH(Q$67-$F78,$F$12:$Z$12,0)),0)</f>
        <v>0</v>
      </c>
      <c r="R78" s="153">
        <f t="shared" ca="1" si="42"/>
        <v>0</v>
      </c>
      <c r="S78" s="153">
        <f t="shared" ca="1" si="42"/>
        <v>0</v>
      </c>
      <c r="T78" s="153">
        <f t="shared" ca="1" si="42"/>
        <v>0</v>
      </c>
      <c r="U78" s="153">
        <f t="shared" ca="1" si="42"/>
        <v>0</v>
      </c>
      <c r="V78" s="153">
        <f t="shared" ca="1" si="42"/>
        <v>2.1244331556383802</v>
      </c>
      <c r="W78" s="153">
        <f t="shared" ca="1" si="42"/>
        <v>4.7613830080092603</v>
      </c>
      <c r="X78" s="153">
        <f t="shared" ca="1" si="42"/>
        <v>5.0085438813267222</v>
      </c>
      <c r="Y78" s="153">
        <f t="shared" ca="1" si="42"/>
        <v>3.5842692415788622</v>
      </c>
      <c r="Z78" s="153">
        <f t="shared" ca="1" si="42"/>
        <v>1.8984091622112242</v>
      </c>
      <c r="AA78" s="154">
        <f t="shared" ca="1" si="42"/>
        <v>0.7692177053732453</v>
      </c>
      <c r="AD78" s="170">
        <f ca="1"/>
        <v>18.465779549275567</v>
      </c>
      <c r="AE78" s="157">
        <v>2180</v>
      </c>
      <c r="AF78" s="152">
        <f>IF(G$36&gt;=$F78,$AD78-SUM($G78:G78),0)</f>
        <v>0</v>
      </c>
      <c r="AG78" s="153">
        <f>IF(H$36&gt;=$F78,$AD78-SUM($G78:H78),0)</f>
        <v>0</v>
      </c>
      <c r="AH78" s="153">
        <f>IF(I$36&gt;=$F78,$AD78-SUM($G78:I78),0)</f>
        <v>0</v>
      </c>
      <c r="AI78" s="153">
        <f>IF(J$36&gt;=$F78,$AD78-SUM($G78:J78),0)</f>
        <v>0</v>
      </c>
      <c r="AJ78" s="153">
        <f>IF(K$36&gt;=$F78,$AD78-SUM($G78:K78),0)</f>
        <v>0</v>
      </c>
      <c r="AK78" s="153">
        <f>IF(L$36&gt;=$F78,$AD78-SUM($G78:L78),0)</f>
        <v>0</v>
      </c>
      <c r="AL78" s="153">
        <f>IF(M$36&gt;=$F78,$AD78-SUM($G78:M78),0)</f>
        <v>0</v>
      </c>
      <c r="AM78" s="153">
        <f>IF(N$36&gt;=$F78,$AD78-SUM($G78:N78),0)</f>
        <v>0</v>
      </c>
      <c r="AN78" s="153">
        <f>IF(O$36&gt;=$F78,$AD78-SUM($G78:O78),0)</f>
        <v>0</v>
      </c>
      <c r="AO78" s="153">
        <f>IF(P$36&gt;=$F78,$AD78-SUM($G78:P78),0)</f>
        <v>0</v>
      </c>
      <c r="AP78" s="153">
        <f ca="1">IF(Q$36&gt;=$F78,$AD78-SUM($G78:Q78),0)</f>
        <v>18.465779549275567</v>
      </c>
      <c r="AQ78" s="153">
        <f ca="1">IF(R$36&gt;=$F78,$AD78-SUM($G78:R78),0)</f>
        <v>18.465779549275567</v>
      </c>
      <c r="AR78" s="153">
        <f ca="1">IF(S$36&gt;=$F78,$AD78-SUM($G78:S78),0)</f>
        <v>18.465779549275567</v>
      </c>
      <c r="AS78" s="153">
        <f ca="1">IF(T$36&gt;=$F78,$AD78-SUM($G78:T78),0)</f>
        <v>18.465779549275567</v>
      </c>
      <c r="AT78" s="153">
        <f ca="1">IF(U$36&gt;=$F78,$AD78-SUM($G78:U78),0)</f>
        <v>18.465779549275567</v>
      </c>
      <c r="AU78" s="153">
        <f ca="1">IF(V$36&gt;=$F78,$AD78-SUM($G78:V78),0)</f>
        <v>16.341346393637188</v>
      </c>
      <c r="AV78" s="153">
        <f ca="1">IF(W$36&gt;=$F78,$AD78-SUM($G78:W78),0)</f>
        <v>11.579963385627927</v>
      </c>
      <c r="AW78" s="153">
        <f ca="1">IF(X$36&gt;=$F78,$AD78-SUM($G78:X78),0)</f>
        <v>6.571419504301204</v>
      </c>
      <c r="AX78" s="153">
        <f ca="1">IF(Y$36&gt;=$F78,$AD78-SUM($G78:Y78),0)</f>
        <v>2.9871502627223414</v>
      </c>
      <c r="AY78" s="153">
        <f ca="1">IF(Z$36&gt;=$F78,$AD78-SUM($G78:Z78),0)</f>
        <v>1.0887411005111183</v>
      </c>
      <c r="AZ78" s="154">
        <f ca="1">IF(AA$36&gt;=$F78,$AD78-SUM($G78:AA78),0)</f>
        <v>0.31952339513787464</v>
      </c>
    </row>
    <row r="79" spans="2:52" x14ac:dyDescent="0.3">
      <c r="B79" s="177">
        <f t="shared" ca="1" si="31"/>
        <v>165.57164195693338</v>
      </c>
      <c r="C79" s="182">
        <f t="shared" ca="1" si="28"/>
        <v>24.080988409729034</v>
      </c>
      <c r="D79" s="177">
        <f t="shared" ca="1" si="32"/>
        <v>299.14237269065256</v>
      </c>
      <c r="E79" s="170" cm="1">
        <f t="array" aca="1" ref="E79" ca="1">INDEX($G$89:$AA$89, 0, MATCH(F79,$G$67:$AA$67,0))+C48</f>
        <v>21.145420926259188</v>
      </c>
      <c r="F79" s="157">
        <v>2190</v>
      </c>
      <c r="G79" s="152">
        <f t="shared" si="29"/>
        <v>0</v>
      </c>
      <c r="H79" s="153">
        <f t="shared" si="29"/>
        <v>0</v>
      </c>
      <c r="I79" s="153">
        <f t="shared" si="29"/>
        <v>0</v>
      </c>
      <c r="J79" s="153">
        <f t="shared" si="29"/>
        <v>0</v>
      </c>
      <c r="K79" s="153">
        <f t="shared" si="29"/>
        <v>0</v>
      </c>
      <c r="L79" s="153">
        <f t="shared" si="29"/>
        <v>0</v>
      </c>
      <c r="M79" s="153">
        <f t="shared" si="29"/>
        <v>0</v>
      </c>
      <c r="N79" s="153">
        <f t="shared" si="29"/>
        <v>0</v>
      </c>
      <c r="O79" s="153">
        <f t="shared" si="29"/>
        <v>0</v>
      </c>
      <c r="P79" s="153">
        <f t="shared" si="29"/>
        <v>0</v>
      </c>
      <c r="Q79" s="153">
        <f t="shared" si="29"/>
        <v>0</v>
      </c>
      <c r="R79" s="153">
        <f t="shared" ref="R79:AA79" ca="1" si="43">IF(R$36&gt;=$F79,$E79*INDEX($F$13:$Z$13,MATCH(R$67-$F79,$F$12:$Z$12,0)),0)</f>
        <v>0</v>
      </c>
      <c r="S79" s="153">
        <f t="shared" ca="1" si="43"/>
        <v>0</v>
      </c>
      <c r="T79" s="153">
        <f t="shared" ca="1" si="43"/>
        <v>0</v>
      </c>
      <c r="U79" s="153">
        <f t="shared" ca="1" si="43"/>
        <v>0</v>
      </c>
      <c r="V79" s="153">
        <f t="shared" ca="1" si="43"/>
        <v>0</v>
      </c>
      <c r="W79" s="153">
        <f t="shared" ca="1" si="43"/>
        <v>2.432717946502128</v>
      </c>
      <c r="X79" s="153">
        <f t="shared" ca="1" si="43"/>
        <v>5.4523258889140029</v>
      </c>
      <c r="Y79" s="153">
        <f t="shared" ca="1" si="43"/>
        <v>5.7353532416912429</v>
      </c>
      <c r="Z79" s="153">
        <f t="shared" ca="1" si="43"/>
        <v>4.1043965473530299</v>
      </c>
      <c r="AA79" s="154">
        <f t="shared" ca="1" si="43"/>
        <v>2.1738947287929817</v>
      </c>
      <c r="AD79" s="170">
        <f ca="1"/>
        <v>21.145420926259188</v>
      </c>
      <c r="AE79" s="157">
        <v>2190</v>
      </c>
      <c r="AF79" s="152">
        <f>IF(G$36&gt;=$F79,$AD79-SUM($G79:G79),0)</f>
        <v>0</v>
      </c>
      <c r="AG79" s="153">
        <f>IF(H$36&gt;=$F79,$AD79-SUM($G79:H79),0)</f>
        <v>0</v>
      </c>
      <c r="AH79" s="153">
        <f>IF(I$36&gt;=$F79,$AD79-SUM($G79:I79),0)</f>
        <v>0</v>
      </c>
      <c r="AI79" s="153">
        <f>IF(J$36&gt;=$F79,$AD79-SUM($G79:J79),0)</f>
        <v>0</v>
      </c>
      <c r="AJ79" s="153">
        <f>IF(K$36&gt;=$F79,$AD79-SUM($G79:K79),0)</f>
        <v>0</v>
      </c>
      <c r="AK79" s="153">
        <f>IF(L$36&gt;=$F79,$AD79-SUM($G79:L79),0)</f>
        <v>0</v>
      </c>
      <c r="AL79" s="153">
        <f>IF(M$36&gt;=$F79,$AD79-SUM($G79:M79),0)</f>
        <v>0</v>
      </c>
      <c r="AM79" s="153">
        <f>IF(N$36&gt;=$F79,$AD79-SUM($G79:N79),0)</f>
        <v>0</v>
      </c>
      <c r="AN79" s="153">
        <f>IF(O$36&gt;=$F79,$AD79-SUM($G79:O79),0)</f>
        <v>0</v>
      </c>
      <c r="AO79" s="153">
        <f>IF(P$36&gt;=$F79,$AD79-SUM($G79:P79),0)</f>
        <v>0</v>
      </c>
      <c r="AP79" s="153">
        <f>IF(Q$36&gt;=$F79,$AD79-SUM($G79:Q79),0)</f>
        <v>0</v>
      </c>
      <c r="AQ79" s="153">
        <f ca="1">IF(R$36&gt;=$F79,$AD79-SUM($G79:R79),0)</f>
        <v>21.145420926259188</v>
      </c>
      <c r="AR79" s="153">
        <f ca="1">IF(S$36&gt;=$F79,$AD79-SUM($G79:S79),0)</f>
        <v>21.145420926259188</v>
      </c>
      <c r="AS79" s="153">
        <f ca="1">IF(T$36&gt;=$F79,$AD79-SUM($G79:T79),0)</f>
        <v>21.145420926259188</v>
      </c>
      <c r="AT79" s="153">
        <f ca="1">IF(U$36&gt;=$F79,$AD79-SUM($G79:U79),0)</f>
        <v>21.145420926259188</v>
      </c>
      <c r="AU79" s="153">
        <f ca="1">IF(V$36&gt;=$F79,$AD79-SUM($G79:V79),0)</f>
        <v>21.145420926259188</v>
      </c>
      <c r="AV79" s="153">
        <f ca="1">IF(W$36&gt;=$F79,$AD79-SUM($G79:W79),0)</f>
        <v>18.712702979757061</v>
      </c>
      <c r="AW79" s="153">
        <f ca="1">IF(X$36&gt;=$F79,$AD79-SUM($G79:X79),0)</f>
        <v>13.260377090843058</v>
      </c>
      <c r="AX79" s="153">
        <f ca="1">IF(Y$36&gt;=$F79,$AD79-SUM($G79:Y79),0)</f>
        <v>7.5250238491518147</v>
      </c>
      <c r="AY79" s="153">
        <f ca="1">IF(Z$36&gt;=$F79,$AD79-SUM($G79:Z79),0)</f>
        <v>3.4206273017987847</v>
      </c>
      <c r="AZ79" s="154">
        <f ca="1">IF(AA$36&gt;=$F79,$AD79-SUM($G79:AA79),0)</f>
        <v>1.2467325730058043</v>
      </c>
    </row>
    <row r="80" spans="2:52" x14ac:dyDescent="0.3">
      <c r="B80" s="177">
        <f t="shared" ca="1" si="31"/>
        <v>184.86151129822775</v>
      </c>
      <c r="C80" s="182">
        <f t="shared" ca="1" si="28"/>
        <v>19.289869341294363</v>
      </c>
      <c r="D80" s="177">
        <f t="shared" ca="1" si="32"/>
        <v>327.38903182216507</v>
      </c>
      <c r="E80" s="170" cm="1">
        <f t="array" aca="1" ref="E80" ca="1">INDEX($G$89:$AA$89, 0, MATCH(F80,$G$67:$AA$67,0))+C49</f>
        <v>28.246659131512509</v>
      </c>
      <c r="F80" s="157">
        <v>2200</v>
      </c>
      <c r="G80" s="152">
        <f t="shared" si="29"/>
        <v>0</v>
      </c>
      <c r="H80" s="153">
        <f t="shared" si="29"/>
        <v>0</v>
      </c>
      <c r="I80" s="153">
        <f t="shared" si="29"/>
        <v>0</v>
      </c>
      <c r="J80" s="153">
        <f t="shared" si="29"/>
        <v>0</v>
      </c>
      <c r="K80" s="153">
        <f t="shared" si="29"/>
        <v>0</v>
      </c>
      <c r="L80" s="153">
        <f t="shared" si="29"/>
        <v>0</v>
      </c>
      <c r="M80" s="153">
        <f t="shared" si="29"/>
        <v>0</v>
      </c>
      <c r="N80" s="153">
        <f t="shared" si="29"/>
        <v>0</v>
      </c>
      <c r="O80" s="153">
        <f t="shared" si="29"/>
        <v>0</v>
      </c>
      <c r="P80" s="153">
        <f t="shared" si="29"/>
        <v>0</v>
      </c>
      <c r="Q80" s="153">
        <f t="shared" si="29"/>
        <v>0</v>
      </c>
      <c r="R80" s="153">
        <f t="shared" si="29"/>
        <v>0</v>
      </c>
      <c r="S80" s="153">
        <f t="shared" ref="S80:AA80" ca="1" si="44">IF(S$36&gt;=$F80,$E80*INDEX($F$13:$Z$13,MATCH(S$67-$F80,$F$12:$Z$12,0)),0)</f>
        <v>0</v>
      </c>
      <c r="T80" s="153">
        <f t="shared" ca="1" si="44"/>
        <v>0</v>
      </c>
      <c r="U80" s="153">
        <f t="shared" ca="1" si="44"/>
        <v>0</v>
      </c>
      <c r="V80" s="153">
        <f t="shared" ca="1" si="44"/>
        <v>0</v>
      </c>
      <c r="W80" s="153">
        <f t="shared" ca="1" si="44"/>
        <v>0</v>
      </c>
      <c r="X80" s="153">
        <f t="shared" ca="1" si="44"/>
        <v>3.2496943351278653</v>
      </c>
      <c r="Y80" s="153">
        <f t="shared" ca="1" si="44"/>
        <v>7.28337314235345</v>
      </c>
      <c r="Z80" s="153">
        <f t="shared" ca="1" si="44"/>
        <v>7.6614491894878469</v>
      </c>
      <c r="AA80" s="154">
        <f t="shared" ca="1" si="44"/>
        <v>5.4827705070493424</v>
      </c>
      <c r="AD80" s="170">
        <f ca="1"/>
        <v>28.246659131512509</v>
      </c>
      <c r="AE80" s="157">
        <v>2200</v>
      </c>
      <c r="AF80" s="152">
        <f>IF(G$36&gt;=$F80,$AD80-SUM($G80:G80),0)</f>
        <v>0</v>
      </c>
      <c r="AG80" s="153">
        <f>IF(H$36&gt;=$F80,$AD80-SUM($G80:H80),0)</f>
        <v>0</v>
      </c>
      <c r="AH80" s="153">
        <f>IF(I$36&gt;=$F80,$AD80-SUM($G80:I80),0)</f>
        <v>0</v>
      </c>
      <c r="AI80" s="153">
        <f>IF(J$36&gt;=$F80,$AD80-SUM($G80:J80),0)</f>
        <v>0</v>
      </c>
      <c r="AJ80" s="153">
        <f>IF(K$36&gt;=$F80,$AD80-SUM($G80:K80),0)</f>
        <v>0</v>
      </c>
      <c r="AK80" s="153">
        <f>IF(L$36&gt;=$F80,$AD80-SUM($G80:L80),0)</f>
        <v>0</v>
      </c>
      <c r="AL80" s="153">
        <f>IF(M$36&gt;=$F80,$AD80-SUM($G80:M80),0)</f>
        <v>0</v>
      </c>
      <c r="AM80" s="153">
        <f>IF(N$36&gt;=$F80,$AD80-SUM($G80:N80),0)</f>
        <v>0</v>
      </c>
      <c r="AN80" s="153">
        <f>IF(O$36&gt;=$F80,$AD80-SUM($G80:O80),0)</f>
        <v>0</v>
      </c>
      <c r="AO80" s="153">
        <f>IF(P$36&gt;=$F80,$AD80-SUM($G80:P80),0)</f>
        <v>0</v>
      </c>
      <c r="AP80" s="153">
        <f>IF(Q$36&gt;=$F80,$AD80-SUM($G80:Q80),0)</f>
        <v>0</v>
      </c>
      <c r="AQ80" s="153">
        <f>IF(R$36&gt;=$F80,$AD80-SUM($G80:R80),0)</f>
        <v>0</v>
      </c>
      <c r="AR80" s="153">
        <f ca="1">IF(S$36&gt;=$F80,$AD80-SUM($G80:S80),0)</f>
        <v>28.246659131512509</v>
      </c>
      <c r="AS80" s="153">
        <f ca="1">IF(T$36&gt;=$F80,$AD80-SUM($G80:T80),0)</f>
        <v>28.246659131512509</v>
      </c>
      <c r="AT80" s="153">
        <f ca="1">IF(U$36&gt;=$F80,$AD80-SUM($G80:U80),0)</f>
        <v>28.246659131512509</v>
      </c>
      <c r="AU80" s="153">
        <f ca="1">IF(V$36&gt;=$F80,$AD80-SUM($G80:V80),0)</f>
        <v>28.246659131512509</v>
      </c>
      <c r="AV80" s="153">
        <f ca="1">IF(W$36&gt;=$F80,$AD80-SUM($G80:W80),0)</f>
        <v>28.246659131512509</v>
      </c>
      <c r="AW80" s="153">
        <f ca="1">IF(X$36&gt;=$F80,$AD80-SUM($G80:X80),0)</f>
        <v>24.996964796384642</v>
      </c>
      <c r="AX80" s="153">
        <f ca="1">IF(Y$36&gt;=$F80,$AD80-SUM($G80:Y80),0)</f>
        <v>17.713591654031191</v>
      </c>
      <c r="AY80" s="153">
        <f ca="1">IF(Z$36&gt;=$F80,$AD80-SUM($G80:Z80),0)</f>
        <v>10.052142464543344</v>
      </c>
      <c r="AZ80" s="154">
        <f ca="1">IF(AA$36&gt;=$F80,$AD80-SUM($G80:AA80),0)</f>
        <v>4.5693719574940026</v>
      </c>
    </row>
    <row r="81" spans="2:52" x14ac:dyDescent="0.3">
      <c r="B81" s="177">
        <f t="shared" ca="1" si="31"/>
        <v>199.98719165261426</v>
      </c>
      <c r="C81" s="182">
        <f t="shared" ca="1" si="28"/>
        <v>15.125680354386503</v>
      </c>
      <c r="D81" s="177">
        <f t="shared" ca="1" si="32"/>
        <v>362.21216015668625</v>
      </c>
      <c r="E81" s="170" cm="1">
        <f t="array" aca="1" ref="E81" ca="1">INDEX($G$89:$AA$89, 0, MATCH(F81,$G$67:$AA$67,0))+C50</f>
        <v>34.823128334521201</v>
      </c>
      <c r="F81" s="157">
        <v>2210</v>
      </c>
      <c r="G81" s="152">
        <f t="shared" si="29"/>
        <v>0</v>
      </c>
      <c r="H81" s="153">
        <f t="shared" si="29"/>
        <v>0</v>
      </c>
      <c r="I81" s="153">
        <f t="shared" si="29"/>
        <v>0</v>
      </c>
      <c r="J81" s="153">
        <f t="shared" si="29"/>
        <v>0</v>
      </c>
      <c r="K81" s="153">
        <f t="shared" si="29"/>
        <v>0</v>
      </c>
      <c r="L81" s="153">
        <f t="shared" si="29"/>
        <v>0</v>
      </c>
      <c r="M81" s="153">
        <f t="shared" si="29"/>
        <v>0</v>
      </c>
      <c r="N81" s="153">
        <f t="shared" si="29"/>
        <v>0</v>
      </c>
      <c r="O81" s="153">
        <f t="shared" si="29"/>
        <v>0</v>
      </c>
      <c r="P81" s="153">
        <f t="shared" si="29"/>
        <v>0</v>
      </c>
      <c r="Q81" s="153">
        <f t="shared" si="29"/>
        <v>0</v>
      </c>
      <c r="R81" s="153">
        <f t="shared" si="29"/>
        <v>0</v>
      </c>
      <c r="S81" s="153">
        <f t="shared" si="29"/>
        <v>0</v>
      </c>
      <c r="T81" s="153">
        <f t="shared" ref="T81:AA81" ca="1" si="45">IF(T$36&gt;=$F81,$E81*INDEX($F$13:$Z$13,MATCH(T$67-$F81,$F$12:$Z$12,0)),0)</f>
        <v>0</v>
      </c>
      <c r="U81" s="153">
        <f t="shared" ca="1" si="45"/>
        <v>0</v>
      </c>
      <c r="V81" s="153">
        <f t="shared" ca="1" si="45"/>
        <v>0</v>
      </c>
      <c r="W81" s="153">
        <f t="shared" ca="1" si="45"/>
        <v>0</v>
      </c>
      <c r="X81" s="153">
        <f t="shared" ca="1" si="45"/>
        <v>0</v>
      </c>
      <c r="Y81" s="153">
        <f t="shared" ca="1" si="45"/>
        <v>4.0062976068513425</v>
      </c>
      <c r="Z81" s="153">
        <f t="shared" ca="1" si="45"/>
        <v>8.9791092271660862</v>
      </c>
      <c r="AA81" s="154">
        <f t="shared" ca="1" si="45"/>
        <v>9.4452100374697583</v>
      </c>
      <c r="AD81" s="170">
        <f ca="1"/>
        <v>34.823128334521201</v>
      </c>
      <c r="AE81" s="157">
        <v>2210</v>
      </c>
      <c r="AF81" s="152">
        <f>IF(G$36&gt;=$F81,$AD81-SUM($G81:G81),0)</f>
        <v>0</v>
      </c>
      <c r="AG81" s="153">
        <f>IF(H$36&gt;=$F81,$AD81-SUM($G81:H81),0)</f>
        <v>0</v>
      </c>
      <c r="AH81" s="153">
        <f>IF(I$36&gt;=$F81,$AD81-SUM($G81:I81),0)</f>
        <v>0</v>
      </c>
      <c r="AI81" s="153">
        <f>IF(J$36&gt;=$F81,$AD81-SUM($G81:J81),0)</f>
        <v>0</v>
      </c>
      <c r="AJ81" s="153">
        <f>IF(K$36&gt;=$F81,$AD81-SUM($G81:K81),0)</f>
        <v>0</v>
      </c>
      <c r="AK81" s="153">
        <f>IF(L$36&gt;=$F81,$AD81-SUM($G81:L81),0)</f>
        <v>0</v>
      </c>
      <c r="AL81" s="153">
        <f>IF(M$36&gt;=$F81,$AD81-SUM($G81:M81),0)</f>
        <v>0</v>
      </c>
      <c r="AM81" s="153">
        <f>IF(N$36&gt;=$F81,$AD81-SUM($G81:N81),0)</f>
        <v>0</v>
      </c>
      <c r="AN81" s="153">
        <f>IF(O$36&gt;=$F81,$AD81-SUM($G81:O81),0)</f>
        <v>0</v>
      </c>
      <c r="AO81" s="153">
        <f>IF(P$36&gt;=$F81,$AD81-SUM($G81:P81),0)</f>
        <v>0</v>
      </c>
      <c r="AP81" s="153">
        <f>IF(Q$36&gt;=$F81,$AD81-SUM($G81:Q81),0)</f>
        <v>0</v>
      </c>
      <c r="AQ81" s="153">
        <f>IF(R$36&gt;=$F81,$AD81-SUM($G81:R81),0)</f>
        <v>0</v>
      </c>
      <c r="AR81" s="153">
        <f>IF(S$36&gt;=$F81,$AD81-SUM($G81:S81),0)</f>
        <v>0</v>
      </c>
      <c r="AS81" s="153">
        <f ca="1">IF(T$36&gt;=$F81,$AD81-SUM($G81:T81),0)</f>
        <v>34.823128334521201</v>
      </c>
      <c r="AT81" s="153">
        <f ca="1">IF(U$36&gt;=$F81,$AD81-SUM($G81:U81),0)</f>
        <v>34.823128334521201</v>
      </c>
      <c r="AU81" s="153">
        <f ca="1">IF(V$36&gt;=$F81,$AD81-SUM($G81:V81),0)</f>
        <v>34.823128334521201</v>
      </c>
      <c r="AV81" s="153">
        <f ca="1">IF(W$36&gt;=$F81,$AD81-SUM($G81:W81),0)</f>
        <v>34.823128334521201</v>
      </c>
      <c r="AW81" s="153">
        <f ca="1">IF(X$36&gt;=$F81,$AD81-SUM($G81:X81),0)</f>
        <v>34.823128334521201</v>
      </c>
      <c r="AX81" s="153">
        <f ca="1">IF(Y$36&gt;=$F81,$AD81-SUM($G81:Y81),0)</f>
        <v>30.81683072766986</v>
      </c>
      <c r="AY81" s="153">
        <f ca="1">IF(Z$36&gt;=$F81,$AD81-SUM($G81:Z81),0)</f>
        <v>21.837721500503772</v>
      </c>
      <c r="AZ81" s="154">
        <f ca="1">IF(AA$36&gt;=$F81,$AD81-SUM($G81:AA81),0)</f>
        <v>12.392511463034012</v>
      </c>
    </row>
    <row r="82" spans="2:52" x14ac:dyDescent="0.3">
      <c r="B82" s="177">
        <f t="shared" ca="1" si="31"/>
        <v>214.58591493996252</v>
      </c>
      <c r="C82" s="182">
        <f t="shared" ca="1" si="28"/>
        <v>14.598723287348271</v>
      </c>
      <c r="D82" s="177">
        <f t="shared" ca="1" si="32"/>
        <v>400.05494202479571</v>
      </c>
      <c r="E82" s="170" cm="1">
        <f t="array" aca="1" ref="E82" ca="1">INDEX($G$89:$AA$89, 0, MATCH(F82,$G$67:$AA$67,0))+C51</f>
        <v>37.842781868109441</v>
      </c>
      <c r="F82" s="157">
        <v>2220</v>
      </c>
      <c r="G82" s="152">
        <f t="shared" si="29"/>
        <v>0</v>
      </c>
      <c r="H82" s="153">
        <f t="shared" si="29"/>
        <v>0</v>
      </c>
      <c r="I82" s="153">
        <f t="shared" si="29"/>
        <v>0</v>
      </c>
      <c r="J82" s="153">
        <f t="shared" si="29"/>
        <v>0</v>
      </c>
      <c r="K82" s="153">
        <f t="shared" si="29"/>
        <v>0</v>
      </c>
      <c r="L82" s="153">
        <f t="shared" si="29"/>
        <v>0</v>
      </c>
      <c r="M82" s="153">
        <f t="shared" si="29"/>
        <v>0</v>
      </c>
      <c r="N82" s="153">
        <f t="shared" si="29"/>
        <v>0</v>
      </c>
      <c r="O82" s="153">
        <f t="shared" si="29"/>
        <v>0</v>
      </c>
      <c r="P82" s="153">
        <f t="shared" si="29"/>
        <v>0</v>
      </c>
      <c r="Q82" s="153">
        <f t="shared" si="29"/>
        <v>0</v>
      </c>
      <c r="R82" s="153">
        <f t="shared" si="29"/>
        <v>0</v>
      </c>
      <c r="S82" s="153">
        <f t="shared" si="29"/>
        <v>0</v>
      </c>
      <c r="T82" s="153">
        <f t="shared" si="29"/>
        <v>0</v>
      </c>
      <c r="U82" s="153">
        <f t="shared" ref="U82:AA82" ca="1" si="46">IF(U$36&gt;=$F82,$E82*INDEX($F$13:$Z$13,MATCH(U$67-$F82,$F$12:$Z$12,0)),0)</f>
        <v>0</v>
      </c>
      <c r="V82" s="153">
        <f t="shared" ca="1" si="46"/>
        <v>0</v>
      </c>
      <c r="W82" s="153">
        <f t="shared" ca="1" si="46"/>
        <v>0</v>
      </c>
      <c r="X82" s="153">
        <f t="shared" ca="1" si="46"/>
        <v>0</v>
      </c>
      <c r="Y82" s="153">
        <f t="shared" ca="1" si="46"/>
        <v>0</v>
      </c>
      <c r="Z82" s="153">
        <f t="shared" ca="1" si="46"/>
        <v>4.3536997876353718</v>
      </c>
      <c r="AA82" s="154">
        <f t="shared" ca="1" si="46"/>
        <v>9.7577239066349648</v>
      </c>
      <c r="AD82" s="170">
        <f ca="1"/>
        <v>37.842781868109441</v>
      </c>
      <c r="AE82" s="157">
        <v>2220</v>
      </c>
      <c r="AF82" s="152">
        <f>IF(G$36&gt;=$F82,$AD82-SUM($G82:G82),0)</f>
        <v>0</v>
      </c>
      <c r="AG82" s="153">
        <f>IF(H$36&gt;=$F82,$AD82-SUM($G82:H82),0)</f>
        <v>0</v>
      </c>
      <c r="AH82" s="153">
        <f>IF(I$36&gt;=$F82,$AD82-SUM($G82:I82),0)</f>
        <v>0</v>
      </c>
      <c r="AI82" s="153">
        <f>IF(J$36&gt;=$F82,$AD82-SUM($G82:J82),0)</f>
        <v>0</v>
      </c>
      <c r="AJ82" s="153">
        <f>IF(K$36&gt;=$F82,$AD82-SUM($G82:K82),0)</f>
        <v>0</v>
      </c>
      <c r="AK82" s="153">
        <f>IF(L$36&gt;=$F82,$AD82-SUM($G82:L82),0)</f>
        <v>0</v>
      </c>
      <c r="AL82" s="153">
        <f>IF(M$36&gt;=$F82,$AD82-SUM($G82:M82),0)</f>
        <v>0</v>
      </c>
      <c r="AM82" s="153">
        <f>IF(N$36&gt;=$F82,$AD82-SUM($G82:N82),0)</f>
        <v>0</v>
      </c>
      <c r="AN82" s="153">
        <f>IF(O$36&gt;=$F82,$AD82-SUM($G82:O82),0)</f>
        <v>0</v>
      </c>
      <c r="AO82" s="153">
        <f>IF(P$36&gt;=$F82,$AD82-SUM($G82:P82),0)</f>
        <v>0</v>
      </c>
      <c r="AP82" s="153">
        <f>IF(Q$36&gt;=$F82,$AD82-SUM($G82:Q82),0)</f>
        <v>0</v>
      </c>
      <c r="AQ82" s="153">
        <f>IF(R$36&gt;=$F82,$AD82-SUM($G82:R82),0)</f>
        <v>0</v>
      </c>
      <c r="AR82" s="153">
        <f>IF(S$36&gt;=$F82,$AD82-SUM($G82:S82),0)</f>
        <v>0</v>
      </c>
      <c r="AS82" s="153">
        <f>IF(T$36&gt;=$F82,$AD82-SUM($G82:T82),0)</f>
        <v>0</v>
      </c>
      <c r="AT82" s="153">
        <f ca="1">IF(U$36&gt;=$F82,$AD82-SUM($G82:U82),0)</f>
        <v>37.842781868109441</v>
      </c>
      <c r="AU82" s="153">
        <f ca="1">IF(V$36&gt;=$F82,$AD82-SUM($G82:V82),0)</f>
        <v>37.842781868109441</v>
      </c>
      <c r="AV82" s="153">
        <f ca="1">IF(W$36&gt;=$F82,$AD82-SUM($G82:W82),0)</f>
        <v>37.842781868109441</v>
      </c>
      <c r="AW82" s="153">
        <f ca="1">IF(X$36&gt;=$F82,$AD82-SUM($G82:X82),0)</f>
        <v>37.842781868109441</v>
      </c>
      <c r="AX82" s="153">
        <f ca="1">IF(Y$36&gt;=$F82,$AD82-SUM($G82:Y82),0)</f>
        <v>37.842781868109441</v>
      </c>
      <c r="AY82" s="153">
        <f ca="1">IF(Z$36&gt;=$F82,$AD82-SUM($G82:Z82),0)</f>
        <v>33.48908208047407</v>
      </c>
      <c r="AZ82" s="154">
        <f ca="1">IF(AA$36&gt;=$F82,$AD82-SUM($G82:AA82),0)</f>
        <v>23.731358173839105</v>
      </c>
    </row>
    <row r="83" spans="2:52" x14ac:dyDescent="0.3">
      <c r="B83" s="177">
        <f t="shared" ca="1" si="31"/>
        <v>232.6907339465501</v>
      </c>
      <c r="C83" s="182">
        <f t="shared" ca="1" si="28"/>
        <v>18.10481900658759</v>
      </c>
      <c r="D83" s="177">
        <f t="shared" ca="1" si="32"/>
        <v>436.99965980270537</v>
      </c>
      <c r="E83" s="170" cm="1">
        <f t="array" aca="1" ref="E83" ca="1">INDEX($G$89:$AA$89, 0, MATCH(F83,$G$67:$AA$67,0))+C52</f>
        <v>36.944717777909652</v>
      </c>
      <c r="F83" s="157">
        <v>2230</v>
      </c>
      <c r="G83" s="152">
        <f t="shared" si="29"/>
        <v>0</v>
      </c>
      <c r="H83" s="153">
        <f t="shared" si="29"/>
        <v>0</v>
      </c>
      <c r="I83" s="153">
        <f t="shared" si="29"/>
        <v>0</v>
      </c>
      <c r="J83" s="153">
        <f t="shared" si="29"/>
        <v>0</v>
      </c>
      <c r="K83" s="153">
        <f t="shared" si="29"/>
        <v>0</v>
      </c>
      <c r="L83" s="153">
        <f t="shared" si="29"/>
        <v>0</v>
      </c>
      <c r="M83" s="153">
        <f t="shared" si="29"/>
        <v>0</v>
      </c>
      <c r="N83" s="153">
        <f t="shared" si="29"/>
        <v>0</v>
      </c>
      <c r="O83" s="153">
        <f t="shared" si="29"/>
        <v>0</v>
      </c>
      <c r="P83" s="153">
        <f t="shared" si="29"/>
        <v>0</v>
      </c>
      <c r="Q83" s="153">
        <f t="shared" si="29"/>
        <v>0</v>
      </c>
      <c r="R83" s="153">
        <f t="shared" si="29"/>
        <v>0</v>
      </c>
      <c r="S83" s="153">
        <f t="shared" si="29"/>
        <v>0</v>
      </c>
      <c r="T83" s="153">
        <f t="shared" si="29"/>
        <v>0</v>
      </c>
      <c r="U83" s="153">
        <f t="shared" si="29"/>
        <v>0</v>
      </c>
      <c r="V83" s="153">
        <f t="shared" ref="V83:AA83" ca="1" si="47">IF(V$36&gt;=$F83,$E83*INDEX($F$13:$Z$13,MATCH(V$67-$F83,$F$12:$Z$12,0)),0)</f>
        <v>0</v>
      </c>
      <c r="W83" s="153">
        <f t="shared" ca="1" si="47"/>
        <v>0</v>
      </c>
      <c r="X83" s="153">
        <f t="shared" ca="1" si="47"/>
        <v>0</v>
      </c>
      <c r="Y83" s="153">
        <f t="shared" ca="1" si="47"/>
        <v>0</v>
      </c>
      <c r="Z83" s="153">
        <f t="shared" ca="1" si="47"/>
        <v>0</v>
      </c>
      <c r="AA83" s="154">
        <f t="shared" ca="1" si="47"/>
        <v>4.2503801782997614</v>
      </c>
      <c r="AD83" s="170">
        <f ca="1"/>
        <v>36.944717777909652</v>
      </c>
      <c r="AE83" s="157">
        <v>2230</v>
      </c>
      <c r="AF83" s="152">
        <f>IF(G$36&gt;=$F83,$AD83-SUM($G83:G83),0)</f>
        <v>0</v>
      </c>
      <c r="AG83" s="153">
        <f>IF(H$36&gt;=$F83,$AD83-SUM($G83:H83),0)</f>
        <v>0</v>
      </c>
      <c r="AH83" s="153">
        <f>IF(I$36&gt;=$F83,$AD83-SUM($G83:I83),0)</f>
        <v>0</v>
      </c>
      <c r="AI83" s="153">
        <f>IF(J$36&gt;=$F83,$AD83-SUM($G83:J83),0)</f>
        <v>0</v>
      </c>
      <c r="AJ83" s="153">
        <f>IF(K$36&gt;=$F83,$AD83-SUM($G83:K83),0)</f>
        <v>0</v>
      </c>
      <c r="AK83" s="153">
        <f>IF(L$36&gt;=$F83,$AD83-SUM($G83:L83),0)</f>
        <v>0</v>
      </c>
      <c r="AL83" s="153">
        <f>IF(M$36&gt;=$F83,$AD83-SUM($G83:M83),0)</f>
        <v>0</v>
      </c>
      <c r="AM83" s="153">
        <f>IF(N$36&gt;=$F83,$AD83-SUM($G83:N83),0)</f>
        <v>0</v>
      </c>
      <c r="AN83" s="153">
        <f>IF(O$36&gt;=$F83,$AD83-SUM($G83:O83),0)</f>
        <v>0</v>
      </c>
      <c r="AO83" s="153">
        <f>IF(P$36&gt;=$F83,$AD83-SUM($G83:P83),0)</f>
        <v>0</v>
      </c>
      <c r="AP83" s="153">
        <f>IF(Q$36&gt;=$F83,$AD83-SUM($G83:Q83),0)</f>
        <v>0</v>
      </c>
      <c r="AQ83" s="153">
        <f>IF(R$36&gt;=$F83,$AD83-SUM($G83:R83),0)</f>
        <v>0</v>
      </c>
      <c r="AR83" s="153">
        <f>IF(S$36&gt;=$F83,$AD83-SUM($G83:S83),0)</f>
        <v>0</v>
      </c>
      <c r="AS83" s="153">
        <f>IF(T$36&gt;=$F83,$AD83-SUM($G83:T83),0)</f>
        <v>0</v>
      </c>
      <c r="AT83" s="153">
        <f>IF(U$36&gt;=$F83,$AD83-SUM($G83:U83),0)</f>
        <v>0</v>
      </c>
      <c r="AU83" s="153">
        <f ca="1">IF(V$36&gt;=$F83,$AD83-SUM($G83:V83),0)</f>
        <v>36.944717777909652</v>
      </c>
      <c r="AV83" s="153">
        <f ca="1">IF(W$36&gt;=$F83,$AD83-SUM($G83:W83),0)</f>
        <v>36.944717777909652</v>
      </c>
      <c r="AW83" s="153">
        <f ca="1">IF(X$36&gt;=$F83,$AD83-SUM($G83:X83),0)</f>
        <v>36.944717777909652</v>
      </c>
      <c r="AX83" s="153">
        <f ca="1">IF(Y$36&gt;=$F83,$AD83-SUM($G83:Y83),0)</f>
        <v>36.944717777909652</v>
      </c>
      <c r="AY83" s="153">
        <f ca="1">IF(Z$36&gt;=$F83,$AD83-SUM($G83:Z83),0)</f>
        <v>36.944717777909652</v>
      </c>
      <c r="AZ83" s="154">
        <f ca="1">IF(AA$36&gt;=$F83,$AD83-SUM($G83:AA83),0)</f>
        <v>32.694337599609888</v>
      </c>
    </row>
    <row r="84" spans="2:52" x14ac:dyDescent="0.3">
      <c r="B84" s="177">
        <f t="shared" ca="1" si="31"/>
        <v>255.82054491739476</v>
      </c>
      <c r="C84" s="182">
        <f t="shared" ca="1" si="28"/>
        <v>23.129810970844652</v>
      </c>
      <c r="D84" s="177">
        <f t="shared" ca="1" si="32"/>
        <v>471.66828428691559</v>
      </c>
      <c r="E84" s="170" cm="1">
        <f t="array" aca="1" ref="E84" ca="1">INDEX($G$89:$AA$89, 0, MATCH(F84,$G$67:$AA$67,0))+C53</f>
        <v>34.668624484210248</v>
      </c>
      <c r="F84" s="157">
        <v>2240</v>
      </c>
      <c r="G84" s="152">
        <f t="shared" ref="G84:P88" si="48">IF(G$36&gt;=$F84,$E84*INDEX($F$13:$Z$13,MATCH(G$67-$F84,$F$12:$Z$12,0)),0)</f>
        <v>0</v>
      </c>
      <c r="H84" s="153">
        <f t="shared" si="48"/>
        <v>0</v>
      </c>
      <c r="I84" s="153">
        <f t="shared" si="48"/>
        <v>0</v>
      </c>
      <c r="J84" s="153">
        <f t="shared" si="48"/>
        <v>0</v>
      </c>
      <c r="K84" s="153">
        <f t="shared" si="48"/>
        <v>0</v>
      </c>
      <c r="L84" s="153">
        <f t="shared" si="48"/>
        <v>0</v>
      </c>
      <c r="M84" s="153">
        <f t="shared" si="48"/>
        <v>0</v>
      </c>
      <c r="N84" s="153">
        <f t="shared" si="48"/>
        <v>0</v>
      </c>
      <c r="O84" s="153">
        <f t="shared" si="48"/>
        <v>0</v>
      </c>
      <c r="P84" s="153">
        <f t="shared" si="48"/>
        <v>0</v>
      </c>
      <c r="Q84" s="153">
        <f t="shared" ref="Q84:Z88" si="49">IF(Q$36&gt;=$F84,$E84*INDEX($F$13:$Z$13,MATCH(Q$67-$F84,$F$12:$Z$12,0)),0)</f>
        <v>0</v>
      </c>
      <c r="R84" s="153">
        <f t="shared" si="49"/>
        <v>0</v>
      </c>
      <c r="S84" s="153">
        <f t="shared" si="49"/>
        <v>0</v>
      </c>
      <c r="T84" s="153">
        <f t="shared" si="49"/>
        <v>0</v>
      </c>
      <c r="U84" s="153">
        <f t="shared" si="49"/>
        <v>0</v>
      </c>
      <c r="V84" s="153">
        <f t="shared" si="49"/>
        <v>0</v>
      </c>
      <c r="W84" s="153">
        <f ca="1">IF(W$36&gt;=$F84,$E84*INDEX($F$13:$Z$13,MATCH(W$67-$F84,$F$12:$Z$12,0)),0)</f>
        <v>0</v>
      </c>
      <c r="X84" s="153">
        <f ca="1">IF(X$36&gt;=$F84,$E84*INDEX($F$13:$Z$13,MATCH(X$67-$F84,$F$12:$Z$12,0)),0)</f>
        <v>0</v>
      </c>
      <c r="Y84" s="153">
        <f ca="1">IF(Y$36&gt;=$F84,$E84*INDEX($F$13:$Z$13,MATCH(Y$67-$F84,$F$12:$Z$12,0)),0)</f>
        <v>0</v>
      </c>
      <c r="Z84" s="153">
        <f ca="1">IF(Z$36&gt;=$F84,$E84*INDEX($F$13:$Z$13,MATCH(Z$67-$F84,$F$12:$Z$12,0)),0)</f>
        <v>0</v>
      </c>
      <c r="AA84" s="154">
        <f ca="1">IF(AA$36&gt;=$F84,$E84*INDEX($F$13:$Z$13,MATCH(AA$67-$F84,$F$12:$Z$12,0)),0)</f>
        <v>0</v>
      </c>
      <c r="AD84" s="170">
        <f ca="1"/>
        <v>34.668624484210248</v>
      </c>
      <c r="AE84" s="157">
        <v>2240</v>
      </c>
      <c r="AF84" s="152">
        <f>IF(G$36&gt;=$F84,$AD84-SUM($G84:G84),0)</f>
        <v>0</v>
      </c>
      <c r="AG84" s="153">
        <f>IF(H$36&gt;=$F84,$AD84-SUM($G84:H84),0)</f>
        <v>0</v>
      </c>
      <c r="AH84" s="153">
        <f>IF(I$36&gt;=$F84,$AD84-SUM($G84:I84),0)</f>
        <v>0</v>
      </c>
      <c r="AI84" s="153">
        <f>IF(J$36&gt;=$F84,$AD84-SUM($G84:J84),0)</f>
        <v>0</v>
      </c>
      <c r="AJ84" s="153">
        <f>IF(K$36&gt;=$F84,$AD84-SUM($G84:K84),0)</f>
        <v>0</v>
      </c>
      <c r="AK84" s="153">
        <f>IF(L$36&gt;=$F84,$AD84-SUM($G84:L84),0)</f>
        <v>0</v>
      </c>
      <c r="AL84" s="153">
        <f>IF(M$36&gt;=$F84,$AD84-SUM($G84:M84),0)</f>
        <v>0</v>
      </c>
      <c r="AM84" s="153">
        <f>IF(N$36&gt;=$F84,$AD84-SUM($G84:N84),0)</f>
        <v>0</v>
      </c>
      <c r="AN84" s="153">
        <f>IF(O$36&gt;=$F84,$AD84-SUM($G84:O84),0)</f>
        <v>0</v>
      </c>
      <c r="AO84" s="153">
        <f>IF(P$36&gt;=$F84,$AD84-SUM($G84:P84),0)</f>
        <v>0</v>
      </c>
      <c r="AP84" s="153">
        <f>IF(Q$36&gt;=$F84,$AD84-SUM($G84:Q84),0)</f>
        <v>0</v>
      </c>
      <c r="AQ84" s="153">
        <f>IF(R$36&gt;=$F84,$AD84-SUM($G84:R84),0)</f>
        <v>0</v>
      </c>
      <c r="AR84" s="153">
        <f>IF(S$36&gt;=$F84,$AD84-SUM($G84:S84),0)</f>
        <v>0</v>
      </c>
      <c r="AS84" s="153">
        <f>IF(T$36&gt;=$F84,$AD84-SUM($G84:T84),0)</f>
        <v>0</v>
      </c>
      <c r="AT84" s="153">
        <f>IF(U$36&gt;=$F84,$AD84-SUM($G84:U84),0)</f>
        <v>0</v>
      </c>
      <c r="AU84" s="153">
        <f>IF(V$36&gt;=$F84,$AD84-SUM($G84:V84),0)</f>
        <v>0</v>
      </c>
      <c r="AV84" s="153">
        <f ca="1">IF(W$36&gt;=$F84,$AD84-SUM($G84:W84),0)</f>
        <v>34.668624484210248</v>
      </c>
      <c r="AW84" s="153">
        <f ca="1">IF(X$36&gt;=$F84,$AD84-SUM($G84:X84),0)</f>
        <v>34.668624484210248</v>
      </c>
      <c r="AX84" s="153">
        <f ca="1">IF(Y$36&gt;=$F84,$AD84-SUM($G84:Y84),0)</f>
        <v>34.668624484210248</v>
      </c>
      <c r="AY84" s="153">
        <f ca="1">IF(Z$36&gt;=$F84,$AD84-SUM($G84:Z84),0)</f>
        <v>34.668624484210248</v>
      </c>
      <c r="AZ84" s="154">
        <f ca="1">IF(AA$36&gt;=$F84,$AD84-SUM($G84:AA84),0)</f>
        <v>34.668624484210248</v>
      </c>
    </row>
    <row r="85" spans="2:52" x14ac:dyDescent="0.3">
      <c r="B85" s="177">
        <f t="shared" ca="1" si="31"/>
        <v>282.53640294560682</v>
      </c>
      <c r="C85" s="182">
        <f t="shared" ca="1" si="28"/>
        <v>26.715858028212061</v>
      </c>
      <c r="D85" s="177">
        <f t="shared" ca="1" si="32"/>
        <v>505.64311731193328</v>
      </c>
      <c r="E85" s="170" cm="1">
        <f t="array" aca="1" ref="E85" ca="1">INDEX($G$89:$AA$89, 0, MATCH(F85,$G$67:$AA$67,0))+C54</f>
        <v>33.974833025017702</v>
      </c>
      <c r="F85" s="157">
        <v>2250</v>
      </c>
      <c r="G85" s="152">
        <f t="shared" si="48"/>
        <v>0</v>
      </c>
      <c r="H85" s="153">
        <f t="shared" si="48"/>
        <v>0</v>
      </c>
      <c r="I85" s="153">
        <f t="shared" si="48"/>
        <v>0</v>
      </c>
      <c r="J85" s="153">
        <f t="shared" si="48"/>
        <v>0</v>
      </c>
      <c r="K85" s="153">
        <f t="shared" si="48"/>
        <v>0</v>
      </c>
      <c r="L85" s="153">
        <f t="shared" si="48"/>
        <v>0</v>
      </c>
      <c r="M85" s="153">
        <f t="shared" si="48"/>
        <v>0</v>
      </c>
      <c r="N85" s="153">
        <f t="shared" si="48"/>
        <v>0</v>
      </c>
      <c r="O85" s="153">
        <f t="shared" si="48"/>
        <v>0</v>
      </c>
      <c r="P85" s="153">
        <f t="shared" si="48"/>
        <v>0</v>
      </c>
      <c r="Q85" s="153">
        <f t="shared" si="49"/>
        <v>0</v>
      </c>
      <c r="R85" s="153">
        <f t="shared" si="49"/>
        <v>0</v>
      </c>
      <c r="S85" s="153">
        <f t="shared" si="49"/>
        <v>0</v>
      </c>
      <c r="T85" s="153">
        <f t="shared" si="49"/>
        <v>0</v>
      </c>
      <c r="U85" s="153">
        <f t="shared" si="49"/>
        <v>0</v>
      </c>
      <c r="V85" s="153">
        <f t="shared" si="49"/>
        <v>0</v>
      </c>
      <c r="W85" s="153">
        <f t="shared" si="49"/>
        <v>0</v>
      </c>
      <c r="X85" s="153">
        <f ca="1">IF(X$36&gt;=$F85,$E85*INDEX($F$13:$Z$13,MATCH(X$67-$F85,$F$12:$Z$12,0)),0)</f>
        <v>0</v>
      </c>
      <c r="Y85" s="153">
        <f ca="1">IF(Y$36&gt;=$F85,$E85*INDEX($F$13:$Z$13,MATCH(Y$67-$F85,$F$12:$Z$12,0)),0)</f>
        <v>0</v>
      </c>
      <c r="Z85" s="153">
        <f ca="1">IF(Z$36&gt;=$F85,$E85*INDEX($F$13:$Z$13,MATCH(Z$67-$F85,$F$12:$Z$12,0)),0)</f>
        <v>0</v>
      </c>
      <c r="AA85" s="154">
        <f ca="1">IF(AA$36&gt;=$F85,$E85*INDEX($F$13:$Z$13,MATCH(AA$67-$F85,$F$12:$Z$12,0)),0)</f>
        <v>0</v>
      </c>
      <c r="AD85" s="170">
        <f ca="1"/>
        <v>33.974833025017702</v>
      </c>
      <c r="AE85" s="157">
        <v>2250</v>
      </c>
      <c r="AF85" s="152">
        <f>IF(G$36&gt;=$F85,$AD85-SUM($G85:G85),0)</f>
        <v>0</v>
      </c>
      <c r="AG85" s="153">
        <f>IF(H$36&gt;=$F85,$AD85-SUM($G85:H85),0)</f>
        <v>0</v>
      </c>
      <c r="AH85" s="153">
        <f>IF(I$36&gt;=$F85,$AD85-SUM($G85:I85),0)</f>
        <v>0</v>
      </c>
      <c r="AI85" s="153">
        <f>IF(J$36&gt;=$F85,$AD85-SUM($G85:J85),0)</f>
        <v>0</v>
      </c>
      <c r="AJ85" s="153">
        <f>IF(K$36&gt;=$F85,$AD85-SUM($G85:K85),0)</f>
        <v>0</v>
      </c>
      <c r="AK85" s="153">
        <f>IF(L$36&gt;=$F85,$AD85-SUM($G85:L85),0)</f>
        <v>0</v>
      </c>
      <c r="AL85" s="153">
        <f>IF(M$36&gt;=$F85,$AD85-SUM($G85:M85),0)</f>
        <v>0</v>
      </c>
      <c r="AM85" s="153">
        <f>IF(N$36&gt;=$F85,$AD85-SUM($G85:N85),0)</f>
        <v>0</v>
      </c>
      <c r="AN85" s="153">
        <f>IF(O$36&gt;=$F85,$AD85-SUM($G85:O85),0)</f>
        <v>0</v>
      </c>
      <c r="AO85" s="153">
        <f>IF(P$36&gt;=$F85,$AD85-SUM($G85:P85),0)</f>
        <v>0</v>
      </c>
      <c r="AP85" s="153">
        <f>IF(Q$36&gt;=$F85,$AD85-SUM($G85:Q85),0)</f>
        <v>0</v>
      </c>
      <c r="AQ85" s="153">
        <f>IF(R$36&gt;=$F85,$AD85-SUM($G85:R85),0)</f>
        <v>0</v>
      </c>
      <c r="AR85" s="153">
        <f>IF(S$36&gt;=$F85,$AD85-SUM($G85:S85),0)</f>
        <v>0</v>
      </c>
      <c r="AS85" s="153">
        <f>IF(T$36&gt;=$F85,$AD85-SUM($G85:T85),0)</f>
        <v>0</v>
      </c>
      <c r="AT85" s="153">
        <f>IF(U$36&gt;=$F85,$AD85-SUM($G85:U85),0)</f>
        <v>0</v>
      </c>
      <c r="AU85" s="153">
        <f>IF(V$36&gt;=$F85,$AD85-SUM($G85:V85),0)</f>
        <v>0</v>
      </c>
      <c r="AV85" s="153">
        <f>IF(W$36&gt;=$F85,$AD85-SUM($G85:W85),0)</f>
        <v>0</v>
      </c>
      <c r="AW85" s="153">
        <f ca="1">IF(X$36&gt;=$F85,$AD85-SUM($G85:X85),0)</f>
        <v>33.974833025017702</v>
      </c>
      <c r="AX85" s="153">
        <f ca="1">IF(Y$36&gt;=$F85,$AD85-SUM($G85:Y85),0)</f>
        <v>33.974833025017702</v>
      </c>
      <c r="AY85" s="153">
        <f ca="1">IF(Z$36&gt;=$F85,$AD85-SUM($G85:Z85),0)</f>
        <v>33.974833025017702</v>
      </c>
      <c r="AZ85" s="154">
        <f ca="1">IF(AA$36&gt;=$F85,$AD85-SUM($G85:AA85),0)</f>
        <v>33.974833025017702</v>
      </c>
    </row>
    <row r="86" spans="2:52" x14ac:dyDescent="0.3">
      <c r="B86" s="177">
        <f t="shared" ca="1" si="31"/>
        <v>310.07506233647626</v>
      </c>
      <c r="C86" s="182">
        <f t="shared" ca="1" si="28"/>
        <v>27.538659390869434</v>
      </c>
      <c r="D86" s="177">
        <f t="shared" ca="1" si="32"/>
        <v>541.83038589303237</v>
      </c>
      <c r="E86" s="170" cm="1">
        <f t="array" aca="1" ref="E86" ca="1">INDEX($G$89:$AA$89, 0, MATCH(F86,$G$67:$AA$67,0))+C55</f>
        <v>36.187268581099062</v>
      </c>
      <c r="F86" s="157">
        <v>2260</v>
      </c>
      <c r="G86" s="152">
        <f t="shared" si="48"/>
        <v>0</v>
      </c>
      <c r="H86" s="153">
        <f t="shared" si="48"/>
        <v>0</v>
      </c>
      <c r="I86" s="153">
        <f t="shared" si="48"/>
        <v>0</v>
      </c>
      <c r="J86" s="153">
        <f t="shared" si="48"/>
        <v>0</v>
      </c>
      <c r="K86" s="153">
        <f t="shared" si="48"/>
        <v>0</v>
      </c>
      <c r="L86" s="153">
        <f t="shared" si="48"/>
        <v>0</v>
      </c>
      <c r="M86" s="153">
        <f t="shared" si="48"/>
        <v>0</v>
      </c>
      <c r="N86" s="153">
        <f t="shared" si="48"/>
        <v>0</v>
      </c>
      <c r="O86" s="153">
        <f t="shared" si="48"/>
        <v>0</v>
      </c>
      <c r="P86" s="153">
        <f t="shared" si="48"/>
        <v>0</v>
      </c>
      <c r="Q86" s="153">
        <f t="shared" si="49"/>
        <v>0</v>
      </c>
      <c r="R86" s="153">
        <f t="shared" si="49"/>
        <v>0</v>
      </c>
      <c r="S86" s="153">
        <f t="shared" si="49"/>
        <v>0</v>
      </c>
      <c r="T86" s="153">
        <f t="shared" si="49"/>
        <v>0</v>
      </c>
      <c r="U86" s="153">
        <f t="shared" si="49"/>
        <v>0</v>
      </c>
      <c r="V86" s="153">
        <f t="shared" si="49"/>
        <v>0</v>
      </c>
      <c r="W86" s="153">
        <f t="shared" si="49"/>
        <v>0</v>
      </c>
      <c r="X86" s="153">
        <f t="shared" si="49"/>
        <v>0</v>
      </c>
      <c r="Y86" s="153">
        <f ca="1">IF(Y$36&gt;=$F86,$E86*INDEX($F$13:$Z$13,MATCH(Y$67-$F86,$F$12:$Z$12,0)),0)</f>
        <v>0</v>
      </c>
      <c r="Z86" s="153">
        <f ca="1">IF(Z$36&gt;=$F86,$E86*INDEX($F$13:$Z$13,MATCH(Z$67-$F86,$F$12:$Z$12,0)),0)</f>
        <v>0</v>
      </c>
      <c r="AA86" s="154">
        <f ca="1">IF(AA$36&gt;=$F86,$E86*INDEX($F$13:$Z$13,MATCH(AA$67-$F86,$F$12:$Z$12,0)),0)</f>
        <v>0</v>
      </c>
      <c r="AD86" s="170">
        <f ca="1"/>
        <v>36.187268581099062</v>
      </c>
      <c r="AE86" s="157">
        <v>2260</v>
      </c>
      <c r="AF86" s="152">
        <f>IF(G$36&gt;=$F86,$AD86-SUM($G86:G86),0)</f>
        <v>0</v>
      </c>
      <c r="AG86" s="153">
        <f>IF(H$36&gt;=$F86,$AD86-SUM($G86:H86),0)</f>
        <v>0</v>
      </c>
      <c r="AH86" s="153">
        <f>IF(I$36&gt;=$F86,$AD86-SUM($G86:I86),0)</f>
        <v>0</v>
      </c>
      <c r="AI86" s="153">
        <f>IF(J$36&gt;=$F86,$AD86-SUM($G86:J86),0)</f>
        <v>0</v>
      </c>
      <c r="AJ86" s="153">
        <f>IF(K$36&gt;=$F86,$AD86-SUM($G86:K86),0)</f>
        <v>0</v>
      </c>
      <c r="AK86" s="153">
        <f>IF(L$36&gt;=$F86,$AD86-SUM($G86:L86),0)</f>
        <v>0</v>
      </c>
      <c r="AL86" s="153">
        <f>IF(M$36&gt;=$F86,$AD86-SUM($G86:M86),0)</f>
        <v>0</v>
      </c>
      <c r="AM86" s="153">
        <f>IF(N$36&gt;=$F86,$AD86-SUM($G86:N86),0)</f>
        <v>0</v>
      </c>
      <c r="AN86" s="153">
        <f>IF(O$36&gt;=$F86,$AD86-SUM($G86:O86),0)</f>
        <v>0</v>
      </c>
      <c r="AO86" s="153">
        <f>IF(P$36&gt;=$F86,$AD86-SUM($G86:P86),0)</f>
        <v>0</v>
      </c>
      <c r="AP86" s="153">
        <f>IF(Q$36&gt;=$F86,$AD86-SUM($G86:Q86),0)</f>
        <v>0</v>
      </c>
      <c r="AQ86" s="153">
        <f>IF(R$36&gt;=$F86,$AD86-SUM($G86:R86),0)</f>
        <v>0</v>
      </c>
      <c r="AR86" s="153">
        <f>IF(S$36&gt;=$F86,$AD86-SUM($G86:S86),0)</f>
        <v>0</v>
      </c>
      <c r="AS86" s="153">
        <f>IF(T$36&gt;=$F86,$AD86-SUM($G86:T86),0)</f>
        <v>0</v>
      </c>
      <c r="AT86" s="153">
        <f>IF(U$36&gt;=$F86,$AD86-SUM($G86:U86),0)</f>
        <v>0</v>
      </c>
      <c r="AU86" s="153">
        <f>IF(V$36&gt;=$F86,$AD86-SUM($G86:V86),0)</f>
        <v>0</v>
      </c>
      <c r="AV86" s="153">
        <f>IF(W$36&gt;=$F86,$AD86-SUM($G86:W86),0)</f>
        <v>0</v>
      </c>
      <c r="AW86" s="153">
        <f>IF(X$36&gt;=$F86,$AD86-SUM($G86:X86),0)</f>
        <v>0</v>
      </c>
      <c r="AX86" s="153">
        <f ca="1">IF(Y$36&gt;=$F86,$AD86-SUM($G86:Y86),0)</f>
        <v>36.187268581099062</v>
      </c>
      <c r="AY86" s="153">
        <f ca="1">IF(Z$36&gt;=$F86,$AD86-SUM($G86:Z86),0)</f>
        <v>36.187268581099062</v>
      </c>
      <c r="AZ86" s="154">
        <f ca="1">IF(AA$36&gt;=$F86,$AD86-SUM($G86:AA86),0)</f>
        <v>36.187268581099062</v>
      </c>
    </row>
    <row r="87" spans="2:52" x14ac:dyDescent="0.3">
      <c r="B87" s="177">
        <f t="shared" ca="1" si="31"/>
        <v>336.49875711277798</v>
      </c>
      <c r="C87" s="182">
        <f t="shared" ca="1" si="28"/>
        <v>26.423694776301708</v>
      </c>
      <c r="D87" s="177">
        <f t="shared" ca="1" si="32"/>
        <v>582.31712181246394</v>
      </c>
      <c r="E87" s="170" cm="1">
        <f t="array" aca="1" ref="E87" ca="1">INDEX($G$89:$AA$89, 0, MATCH(F87,$G$67:$AA$67,0))+C56</f>
        <v>40.486735919431545</v>
      </c>
      <c r="F87" s="157">
        <v>2270</v>
      </c>
      <c r="G87" s="152">
        <f t="shared" si="48"/>
        <v>0</v>
      </c>
      <c r="H87" s="153">
        <f t="shared" si="48"/>
        <v>0</v>
      </c>
      <c r="I87" s="153">
        <f t="shared" si="48"/>
        <v>0</v>
      </c>
      <c r="J87" s="153">
        <f t="shared" si="48"/>
        <v>0</v>
      </c>
      <c r="K87" s="153">
        <f t="shared" si="48"/>
        <v>0</v>
      </c>
      <c r="L87" s="153">
        <f t="shared" si="48"/>
        <v>0</v>
      </c>
      <c r="M87" s="153">
        <f t="shared" si="48"/>
        <v>0</v>
      </c>
      <c r="N87" s="153">
        <f t="shared" si="48"/>
        <v>0</v>
      </c>
      <c r="O87" s="153">
        <f t="shared" si="48"/>
        <v>0</v>
      </c>
      <c r="P87" s="153">
        <f t="shared" si="48"/>
        <v>0</v>
      </c>
      <c r="Q87" s="153">
        <f t="shared" si="49"/>
        <v>0</v>
      </c>
      <c r="R87" s="153">
        <f t="shared" si="49"/>
        <v>0</v>
      </c>
      <c r="S87" s="153">
        <f t="shared" si="49"/>
        <v>0</v>
      </c>
      <c r="T87" s="153">
        <f t="shared" si="49"/>
        <v>0</v>
      </c>
      <c r="U87" s="153">
        <f t="shared" si="49"/>
        <v>0</v>
      </c>
      <c r="V87" s="153">
        <f t="shared" si="49"/>
        <v>0</v>
      </c>
      <c r="W87" s="153">
        <f t="shared" si="49"/>
        <v>0</v>
      </c>
      <c r="X87" s="153">
        <f t="shared" si="49"/>
        <v>0</v>
      </c>
      <c r="Y87" s="153">
        <f t="shared" si="49"/>
        <v>0</v>
      </c>
      <c r="Z87" s="153">
        <f ca="1">IF(Z$36&gt;=$F87,$E87*INDEX($F$13:$Z$13,MATCH(Z$67-$F87,$F$12:$Z$12,0)),0)</f>
        <v>0</v>
      </c>
      <c r="AA87" s="154">
        <f ca="1">IF(AA$36&gt;=$F87,$E87*INDEX($F$13:$Z$13,MATCH(AA$67-$F87,$F$12:$Z$12,0)),0)</f>
        <v>0</v>
      </c>
      <c r="AD87" s="170">
        <f ca="1"/>
        <v>40.486735919431545</v>
      </c>
      <c r="AE87" s="157">
        <v>2270</v>
      </c>
      <c r="AF87" s="152">
        <f>IF(G$36&gt;=$F87,$AD87-SUM($G87:G87),0)</f>
        <v>0</v>
      </c>
      <c r="AG87" s="153">
        <f>IF(H$36&gt;=$F87,$AD87-SUM($G87:H87),0)</f>
        <v>0</v>
      </c>
      <c r="AH87" s="153">
        <f>IF(I$36&gt;=$F87,$AD87-SUM($G87:I87),0)</f>
        <v>0</v>
      </c>
      <c r="AI87" s="153">
        <f>IF(J$36&gt;=$F87,$AD87-SUM($G87:J87),0)</f>
        <v>0</v>
      </c>
      <c r="AJ87" s="153">
        <f>IF(K$36&gt;=$F87,$AD87-SUM($G87:K87),0)</f>
        <v>0</v>
      </c>
      <c r="AK87" s="153">
        <f>IF(L$36&gt;=$F87,$AD87-SUM($G87:L87),0)</f>
        <v>0</v>
      </c>
      <c r="AL87" s="153">
        <f>IF(M$36&gt;=$F87,$AD87-SUM($G87:M87),0)</f>
        <v>0</v>
      </c>
      <c r="AM87" s="153">
        <f>IF(N$36&gt;=$F87,$AD87-SUM($G87:N87),0)</f>
        <v>0</v>
      </c>
      <c r="AN87" s="153">
        <f>IF(O$36&gt;=$F87,$AD87-SUM($G87:O87),0)</f>
        <v>0</v>
      </c>
      <c r="AO87" s="153">
        <f>IF(P$36&gt;=$F87,$AD87-SUM($G87:P87),0)</f>
        <v>0</v>
      </c>
      <c r="AP87" s="153">
        <f>IF(Q$36&gt;=$F87,$AD87-SUM($G87:Q87),0)</f>
        <v>0</v>
      </c>
      <c r="AQ87" s="153">
        <f>IF(R$36&gt;=$F87,$AD87-SUM($G87:R87),0)</f>
        <v>0</v>
      </c>
      <c r="AR87" s="153">
        <f>IF(S$36&gt;=$F87,$AD87-SUM($G87:S87),0)</f>
        <v>0</v>
      </c>
      <c r="AS87" s="153">
        <f>IF(T$36&gt;=$F87,$AD87-SUM($G87:T87),0)</f>
        <v>0</v>
      </c>
      <c r="AT87" s="153">
        <f>IF(U$36&gt;=$F87,$AD87-SUM($G87:U87),0)</f>
        <v>0</v>
      </c>
      <c r="AU87" s="153">
        <f>IF(V$36&gt;=$F87,$AD87-SUM($G87:V87),0)</f>
        <v>0</v>
      </c>
      <c r="AV87" s="153">
        <f>IF(W$36&gt;=$F87,$AD87-SUM($G87:W87),0)</f>
        <v>0</v>
      </c>
      <c r="AW87" s="153">
        <f>IF(X$36&gt;=$F87,$AD87-SUM($G87:X87),0)</f>
        <v>0</v>
      </c>
      <c r="AX87" s="153">
        <f>IF(Y$36&gt;=$F87,$AD87-SUM($G87:Y87),0)</f>
        <v>0</v>
      </c>
      <c r="AY87" s="153">
        <f ca="1">IF(Z$36&gt;=$F87,$AD87-SUM($G87:Z87),0)</f>
        <v>40.486735919431545</v>
      </c>
      <c r="AZ87" s="154">
        <f ca="1">IF(AA$36&gt;=$F87,$AD87-SUM($G87:AA87),0)</f>
        <v>40.486735919431545</v>
      </c>
    </row>
    <row r="88" spans="2:52" ht="15" thickBot="1" x14ac:dyDescent="0.35">
      <c r="B88" s="181">
        <f t="shared" ca="1" si="31"/>
        <v>361.82927471293436</v>
      </c>
      <c r="C88" s="183">
        <f t="shared" ca="1" si="28"/>
        <v>25.330517600156377</v>
      </c>
      <c r="D88" s="181">
        <f t="shared" ca="1" si="32"/>
        <v>627.24097177141903</v>
      </c>
      <c r="E88" s="174" cm="1">
        <f t="array" aca="1" ref="E88" ca="1">INDEX($G$89:$AA$89, 0, MATCH(F88,$G$67:$AA$67,0))+C57</f>
        <v>44.923849958955124</v>
      </c>
      <c r="F88" s="186">
        <v>2280</v>
      </c>
      <c r="G88" s="155">
        <f t="shared" si="48"/>
        <v>0</v>
      </c>
      <c r="H88" s="148">
        <f t="shared" si="48"/>
        <v>0</v>
      </c>
      <c r="I88" s="148">
        <f t="shared" si="48"/>
        <v>0</v>
      </c>
      <c r="J88" s="148">
        <f t="shared" si="48"/>
        <v>0</v>
      </c>
      <c r="K88" s="148">
        <f t="shared" si="48"/>
        <v>0</v>
      </c>
      <c r="L88" s="148">
        <f t="shared" si="48"/>
        <v>0</v>
      </c>
      <c r="M88" s="148">
        <f t="shared" si="48"/>
        <v>0</v>
      </c>
      <c r="N88" s="148">
        <f t="shared" si="48"/>
        <v>0</v>
      </c>
      <c r="O88" s="148">
        <f t="shared" si="48"/>
        <v>0</v>
      </c>
      <c r="P88" s="148">
        <f t="shared" si="48"/>
        <v>0</v>
      </c>
      <c r="Q88" s="148">
        <f t="shared" si="49"/>
        <v>0</v>
      </c>
      <c r="R88" s="148">
        <f t="shared" si="49"/>
        <v>0</v>
      </c>
      <c r="S88" s="148">
        <f t="shared" si="49"/>
        <v>0</v>
      </c>
      <c r="T88" s="148">
        <f t="shared" si="49"/>
        <v>0</v>
      </c>
      <c r="U88" s="148">
        <f t="shared" si="49"/>
        <v>0</v>
      </c>
      <c r="V88" s="148">
        <f t="shared" si="49"/>
        <v>0</v>
      </c>
      <c r="W88" s="148">
        <f t="shared" si="49"/>
        <v>0</v>
      </c>
      <c r="X88" s="148">
        <f t="shared" si="49"/>
        <v>0</v>
      </c>
      <c r="Y88" s="148">
        <f t="shared" si="49"/>
        <v>0</v>
      </c>
      <c r="Z88" s="148">
        <f t="shared" si="49"/>
        <v>0</v>
      </c>
      <c r="AA88" s="156">
        <f ca="1">IF(AA$36&gt;=$F88,$E88*INDEX($F$13:$Z$13,MATCH(AA$67-$F88,$F$12:$Z$12,0)),0)</f>
        <v>0</v>
      </c>
      <c r="AD88" s="174">
        <f ca="1"/>
        <v>44.923849958955124</v>
      </c>
      <c r="AE88" s="158">
        <v>2280</v>
      </c>
      <c r="AF88" s="155">
        <f>IF(G$36&gt;=$F88,$AD88-SUM($G88:G88),0)</f>
        <v>0</v>
      </c>
      <c r="AG88" s="148">
        <f>IF(H$36&gt;=$F88,$AD88-SUM($G88:H88),0)</f>
        <v>0</v>
      </c>
      <c r="AH88" s="148">
        <f>IF(I$36&gt;=$F88,$AD88-SUM($G88:I88),0)</f>
        <v>0</v>
      </c>
      <c r="AI88" s="148">
        <f>IF(J$36&gt;=$F88,$AD88-SUM($G88:J88),0)</f>
        <v>0</v>
      </c>
      <c r="AJ88" s="148">
        <f>IF(K$36&gt;=$F88,$AD88-SUM($G88:K88),0)</f>
        <v>0</v>
      </c>
      <c r="AK88" s="148">
        <f>IF(L$36&gt;=$F88,$AD88-SUM($G88:L88),0)</f>
        <v>0</v>
      </c>
      <c r="AL88" s="148">
        <f>IF(M$36&gt;=$F88,$AD88-SUM($G88:M88),0)</f>
        <v>0</v>
      </c>
      <c r="AM88" s="148">
        <f>IF(N$36&gt;=$F88,$AD88-SUM($G88:N88),0)</f>
        <v>0</v>
      </c>
      <c r="AN88" s="148">
        <f>IF(O$36&gt;=$F88,$AD88-SUM($G88:O88),0)</f>
        <v>0</v>
      </c>
      <c r="AO88" s="148">
        <f>IF(P$36&gt;=$F88,$AD88-SUM($G88:P88),0)</f>
        <v>0</v>
      </c>
      <c r="AP88" s="148">
        <f>IF(Q$36&gt;=$F88,$AD88-SUM($G88:Q88),0)</f>
        <v>0</v>
      </c>
      <c r="AQ88" s="148">
        <f>IF(R$36&gt;=$F88,$AD88-SUM($G88:R88),0)</f>
        <v>0</v>
      </c>
      <c r="AR88" s="148">
        <f>IF(S$36&gt;=$F88,$AD88-SUM($G88:S88),0)</f>
        <v>0</v>
      </c>
      <c r="AS88" s="148">
        <f>IF(T$36&gt;=$F88,$AD88-SUM($G88:T88),0)</f>
        <v>0</v>
      </c>
      <c r="AT88" s="148">
        <f>IF(U$36&gt;=$F88,$AD88-SUM($G88:U88),0)</f>
        <v>0</v>
      </c>
      <c r="AU88" s="148">
        <f>IF(V$36&gt;=$F88,$AD88-SUM($G88:V88),0)</f>
        <v>0</v>
      </c>
      <c r="AV88" s="148">
        <f>IF(W$36&gt;=$F88,$AD88-SUM($G88:W88),0)</f>
        <v>0</v>
      </c>
      <c r="AW88" s="148">
        <f>IF(X$36&gt;=$F88,$AD88-SUM($G88:X88),0)</f>
        <v>0</v>
      </c>
      <c r="AX88" s="148">
        <f>IF(Y$36&gt;=$F88,$AD88-SUM($G88:Y88),0)</f>
        <v>0</v>
      </c>
      <c r="AY88" s="148">
        <f>IF(Z$36&gt;=$F88,$AD88-SUM($G88:Z88),0)</f>
        <v>0</v>
      </c>
      <c r="AZ88" s="156">
        <f ca="1">IF(AA$36&gt;=$F88,$AD88-SUM($G88:AA88),0)</f>
        <v>44.923849958955124</v>
      </c>
    </row>
    <row r="89" spans="2:52" ht="15" thickTop="1" x14ac:dyDescent="0.3">
      <c r="C89" s="170">
        <f ca="1">SUM(C68:C88)</f>
        <v>361.82927471293436</v>
      </c>
      <c r="D89" s="175"/>
      <c r="E89" s="170">
        <f ca="1">SUM(E67:E88)</f>
        <v>627.24097177141903</v>
      </c>
      <c r="F89" s="105" t="s">
        <v>75</v>
      </c>
      <c r="G89" s="173">
        <f t="shared" ref="G89:AA89" si="50">SUM(G68:G88)</f>
        <v>0</v>
      </c>
      <c r="H89" s="173">
        <f t="shared" ca="1" si="50"/>
        <v>0</v>
      </c>
      <c r="I89" s="173">
        <f t="shared" ca="1" si="50"/>
        <v>0</v>
      </c>
      <c r="J89" s="173">
        <f t="shared" ca="1" si="50"/>
        <v>0</v>
      </c>
      <c r="K89" s="173">
        <f t="shared" ca="1" si="50"/>
        <v>0</v>
      </c>
      <c r="L89" s="173">
        <f t="shared" ca="1" si="50"/>
        <v>11.504703334995268</v>
      </c>
      <c r="M89" s="173">
        <f t="shared" ca="1" si="50"/>
        <v>26.360136341940358</v>
      </c>
      <c r="N89" s="173">
        <f t="shared" ca="1" si="50"/>
        <v>29.016623739604896</v>
      </c>
      <c r="O89" s="173">
        <f t="shared" ca="1" si="50"/>
        <v>22.75440584600226</v>
      </c>
      <c r="P89" s="173">
        <f t="shared" ca="1" si="50"/>
        <v>14.762481354723361</v>
      </c>
      <c r="Q89" s="173">
        <f t="shared" ca="1" si="50"/>
        <v>10.709138469382991</v>
      </c>
      <c r="R89" s="173">
        <f t="shared" ca="1" si="50"/>
        <v>13.000947792371957</v>
      </c>
      <c r="S89" s="173">
        <f t="shared" ca="1" si="50"/>
        <v>19.694962340930921</v>
      </c>
      <c r="T89" s="173">
        <f t="shared" ca="1" si="50"/>
        <v>25.843846704410549</v>
      </c>
      <c r="U89" s="173">
        <f t="shared" ca="1" si="50"/>
        <v>28.414536156493238</v>
      </c>
      <c r="V89" s="173">
        <f t="shared" ca="1" si="50"/>
        <v>27.045059780712641</v>
      </c>
      <c r="W89" s="173">
        <f t="shared" ca="1" si="50"/>
        <v>24.273983587153388</v>
      </c>
      <c r="X89" s="173">
        <f t="shared" ca="1" si="50"/>
        <v>23.060460083108001</v>
      </c>
      <c r="Y89" s="173">
        <f t="shared" ca="1" si="50"/>
        <v>24.727176992093888</v>
      </c>
      <c r="Z89" s="173">
        <f t="shared" ca="1" si="50"/>
        <v>28.453639750976102</v>
      </c>
      <c r="AA89" s="173">
        <f t="shared" ca="1" si="50"/>
        <v>32.289098982076929</v>
      </c>
      <c r="AD89" s="170">
        <f ca="1">SUM(AD67:AD88)</f>
        <v>627.24097177141903</v>
      </c>
      <c r="AE89" s="157" t="s">
        <v>75</v>
      </c>
      <c r="AF89" s="173">
        <f t="shared" ref="AF89:AZ89" si="51">SUM(AF68:AF88)</f>
        <v>100</v>
      </c>
      <c r="AG89" s="173">
        <f t="shared" ca="1" si="51"/>
        <v>105</v>
      </c>
      <c r="AH89" s="173">
        <f t="shared" ca="1" si="51"/>
        <v>110.25</v>
      </c>
      <c r="AI89" s="173">
        <f t="shared" ca="1" si="51"/>
        <v>115.7625</v>
      </c>
      <c r="AJ89" s="173">
        <f t="shared" ca="1" si="51"/>
        <v>121.55062500000001</v>
      </c>
      <c r="AK89" s="173">
        <f t="shared" ca="1" si="51"/>
        <v>127.62815625000002</v>
      </c>
      <c r="AL89" s="173">
        <f t="shared" ca="1" si="51"/>
        <v>134.00956406250003</v>
      </c>
      <c r="AM89" s="173">
        <f t="shared" ca="1" si="51"/>
        <v>140.71004226562508</v>
      </c>
      <c r="AN89" s="173">
        <f t="shared" ca="1" si="51"/>
        <v>147.74554437890632</v>
      </c>
      <c r="AO89" s="173">
        <f t="shared" ca="1" si="51"/>
        <v>155.13282159785166</v>
      </c>
      <c r="AP89" s="173">
        <f t="shared" ca="1" si="51"/>
        <v>162.88946267774423</v>
      </c>
      <c r="AQ89" s="173">
        <f t="shared" ca="1" si="51"/>
        <v>171.03393581163147</v>
      </c>
      <c r="AR89" s="173">
        <f t="shared" ca="1" si="51"/>
        <v>179.58563260221302</v>
      </c>
      <c r="AS89" s="173">
        <f t="shared" ca="1" si="51"/>
        <v>188.5649142323237</v>
      </c>
      <c r="AT89" s="173">
        <f t="shared" ca="1" si="51"/>
        <v>197.99315994393993</v>
      </c>
      <c r="AU89" s="173">
        <f t="shared" ca="1" si="51"/>
        <v>207.89281794113691</v>
      </c>
      <c r="AV89" s="173">
        <f t="shared" ca="1" si="51"/>
        <v>218.28745883819377</v>
      </c>
      <c r="AW89" s="173">
        <f t="shared" ca="1" si="51"/>
        <v>229.20183178010348</v>
      </c>
      <c r="AX89" s="173">
        <f t="shared" ca="1" si="51"/>
        <v>240.66192336910862</v>
      </c>
      <c r="AY89" s="173">
        <f t="shared" ca="1" si="51"/>
        <v>252.69501953756406</v>
      </c>
      <c r="AZ89" s="173">
        <f t="shared" ca="1" si="51"/>
        <v>265.32977051444232</v>
      </c>
    </row>
    <row r="90" spans="2:52" x14ac:dyDescent="0.3">
      <c r="E90" s="163"/>
      <c r="F90" t="s">
        <v>105</v>
      </c>
      <c r="G90" s="175">
        <f>G89</f>
        <v>0</v>
      </c>
      <c r="H90" s="175">
        <f t="shared" ref="H90:AA90" ca="1" si="52">G90+H89</f>
        <v>0</v>
      </c>
      <c r="I90" s="175">
        <f t="shared" ca="1" si="52"/>
        <v>0</v>
      </c>
      <c r="J90" s="175">
        <f t="shared" ca="1" si="52"/>
        <v>0</v>
      </c>
      <c r="K90" s="175">
        <f t="shared" ca="1" si="52"/>
        <v>0</v>
      </c>
      <c r="L90" s="175">
        <f t="shared" ca="1" si="52"/>
        <v>11.504703334995268</v>
      </c>
      <c r="M90" s="175">
        <f t="shared" ca="1" si="52"/>
        <v>37.864839676935624</v>
      </c>
      <c r="N90" s="175">
        <f t="shared" ca="1" si="52"/>
        <v>66.881463416540527</v>
      </c>
      <c r="O90" s="175">
        <f t="shared" ca="1" si="52"/>
        <v>89.635869262542784</v>
      </c>
      <c r="P90" s="175">
        <f t="shared" ca="1" si="52"/>
        <v>104.39835061726615</v>
      </c>
      <c r="Q90" s="175">
        <f t="shared" ca="1" si="52"/>
        <v>115.10748908664914</v>
      </c>
      <c r="R90" s="175">
        <f t="shared" ca="1" si="52"/>
        <v>128.1084368790211</v>
      </c>
      <c r="S90" s="175">
        <f t="shared" ca="1" si="52"/>
        <v>147.80339921995201</v>
      </c>
      <c r="T90" s="175">
        <f t="shared" ca="1" si="52"/>
        <v>173.64724592436255</v>
      </c>
      <c r="U90" s="175">
        <f t="shared" ca="1" si="52"/>
        <v>202.06178208085578</v>
      </c>
      <c r="V90" s="175">
        <f t="shared" ca="1" si="52"/>
        <v>229.10684186156843</v>
      </c>
      <c r="W90" s="175">
        <f t="shared" ca="1" si="52"/>
        <v>253.38082544872182</v>
      </c>
      <c r="X90" s="175">
        <f t="shared" ca="1" si="52"/>
        <v>276.44128553182981</v>
      </c>
      <c r="Y90" s="175">
        <f t="shared" ca="1" si="52"/>
        <v>301.16846252392372</v>
      </c>
      <c r="Z90" s="175">
        <f t="shared" ca="1" si="52"/>
        <v>329.62210227489982</v>
      </c>
      <c r="AA90" s="175">
        <f t="shared" ca="1" si="52"/>
        <v>361.91120125697677</v>
      </c>
      <c r="AD90" s="163"/>
      <c r="AE90" s="106"/>
    </row>
  </sheetData>
  <mergeCells count="4">
    <mergeCell ref="D35:E35"/>
    <mergeCell ref="B66:C66"/>
    <mergeCell ref="D66:E66"/>
    <mergeCell ref="B35:C35"/>
  </mergeCells>
  <conditionalFormatting sqref="F7:Z7">
    <cfRule type="cellIs" dxfId="2" priority="1" operator="equal">
      <formula>0</formula>
    </cfRule>
    <cfRule type="colorScale" priority="2">
      <colorScale>
        <cfvo type="min"/>
        <cfvo type="max"/>
        <color rgb="FFFCFCFF"/>
        <color rgb="FFC00000"/>
      </colorScale>
    </cfRule>
  </conditionalFormatting>
  <conditionalFormatting sqref="F8:Z8">
    <cfRule type="colorScale" priority="18">
      <colorScale>
        <cfvo type="min"/>
        <cfvo type="max"/>
        <color rgb="FFFCFCFF"/>
        <color rgb="FFF8696B"/>
      </colorScale>
    </cfRule>
  </conditionalFormatting>
  <conditionalFormatting sqref="F13:Z13 F8:Z8">
    <cfRule type="colorScale" priority="19">
      <colorScale>
        <cfvo type="min"/>
        <cfvo type="max"/>
        <color rgb="FFFCFCFF"/>
        <color rgb="FF63BE7B"/>
      </colorScale>
    </cfRule>
  </conditionalFormatting>
  <conditionalFormatting sqref="G37:AA57">
    <cfRule type="colorScale" priority="10">
      <colorScale>
        <cfvo type="min"/>
        <cfvo type="max"/>
        <color rgb="FFFCFCFF"/>
        <color rgb="FFF8696B"/>
      </colorScale>
    </cfRule>
    <cfRule type="colorScale" priority="11">
      <colorScale>
        <cfvo type="min"/>
        <cfvo type="max"/>
        <color rgb="FFFCFCFF"/>
        <color rgb="FFF8696B"/>
      </colorScale>
    </cfRule>
    <cfRule type="colorScale" priority="12">
      <colorScale>
        <cfvo type="min"/>
        <cfvo type="max"/>
        <color rgb="FFFCFCFF"/>
        <color rgb="FF63BE7B"/>
      </colorScale>
    </cfRule>
  </conditionalFormatting>
  <conditionalFormatting sqref="G58:AA58">
    <cfRule type="colorScale" priority="17">
      <colorScale>
        <cfvo type="min"/>
        <cfvo type="max"/>
        <color rgb="FFFCFCFF"/>
        <color rgb="FFF8696B"/>
      </colorScale>
    </cfRule>
  </conditionalFormatting>
  <conditionalFormatting sqref="G68:AA88">
    <cfRule type="colorScale" priority="4">
      <colorScale>
        <cfvo type="min"/>
        <cfvo type="max"/>
        <color rgb="FFFCFCFF"/>
        <color rgb="FFF8696B"/>
      </colorScale>
    </cfRule>
    <cfRule type="colorScale" priority="5">
      <colorScale>
        <cfvo type="min"/>
        <cfvo type="max"/>
        <color rgb="FFFCFCFF"/>
        <color rgb="FF63BE7B"/>
      </colorScale>
    </cfRule>
  </conditionalFormatting>
  <conditionalFormatting sqref="G68:AA89">
    <cfRule type="colorScale" priority="3">
      <colorScale>
        <cfvo type="min"/>
        <cfvo type="max"/>
        <color rgb="FFFCFCFF"/>
        <color rgb="FF63BE7B"/>
      </colorScale>
    </cfRule>
  </conditionalFormatting>
  <conditionalFormatting sqref="H34:AA34">
    <cfRule type="colorScale" priority="16">
      <colorScale>
        <cfvo type="min"/>
        <cfvo type="max"/>
        <color rgb="FFFCFCFF"/>
        <color rgb="FFF8696B"/>
      </colorScale>
    </cfRule>
  </conditionalFormatting>
  <conditionalFormatting sqref="H65:AA65">
    <cfRule type="colorScale" priority="9">
      <colorScale>
        <cfvo type="min"/>
        <cfvo type="max"/>
        <color rgb="FFFCFCFF"/>
        <color rgb="FFF8696B"/>
      </colorScale>
    </cfRule>
  </conditionalFormatting>
  <conditionalFormatting sqref="AF37:AZ57">
    <cfRule type="colorScale" priority="14">
      <colorScale>
        <cfvo type="min"/>
        <cfvo type="max"/>
        <color rgb="FFFCFCFF"/>
        <color rgb="FFF8696B"/>
      </colorScale>
    </cfRule>
    <cfRule type="colorScale" priority="15">
      <colorScale>
        <cfvo type="min"/>
        <cfvo type="max"/>
        <color rgb="FFFCFCFF"/>
        <color rgb="FF63BE7B"/>
      </colorScale>
    </cfRule>
  </conditionalFormatting>
  <conditionalFormatting sqref="AF37:AZ58">
    <cfRule type="colorScale" priority="13">
      <colorScale>
        <cfvo type="min"/>
        <cfvo type="max"/>
        <color rgb="FFFCFCFF"/>
        <color rgb="FFF8696B"/>
      </colorScale>
    </cfRule>
  </conditionalFormatting>
  <conditionalFormatting sqref="AF68:AZ88">
    <cfRule type="colorScale" priority="7">
      <colorScale>
        <cfvo type="min"/>
        <cfvo type="max"/>
        <color rgb="FFFCFCFF"/>
        <color rgb="FFF8696B"/>
      </colorScale>
    </cfRule>
    <cfRule type="colorScale" priority="8">
      <colorScale>
        <cfvo type="min"/>
        <cfvo type="max"/>
        <color rgb="FFFCFCFF"/>
        <color rgb="FF63BE7B"/>
      </colorScale>
    </cfRule>
  </conditionalFormatting>
  <conditionalFormatting sqref="AF68:AZ89">
    <cfRule type="colorScale" priority="6">
      <colorScale>
        <cfvo type="min"/>
        <cfvo type="max"/>
        <color rgb="FFFCFCFF"/>
        <color rgb="FF63BE7B"/>
      </colorScale>
    </cfRule>
  </conditionalFormatting>
  <dataValidations count="2">
    <dataValidation type="whole" allowBlank="1" showInputMessage="1" showErrorMessage="1" sqref="G10" xr:uid="{3F9A163E-D2C5-45AC-8FA5-4F1304B20155}">
      <formula1>0</formula1>
      <formula2>200</formula2>
    </dataValidation>
    <dataValidation type="decimal" allowBlank="1" showInputMessage="1" showErrorMessage="1" sqref="L15" xr:uid="{A88BBF52-D72D-4B51-BB60-9DA0FDCF8D1F}">
      <formula1>0</formula1>
      <formula2>1</formula2>
    </dataValidation>
  </dataValidations>
  <pageMargins left="0.7" right="0.7" top="0.75" bottom="0.75" header="0.3" footer="0.3"/>
  <pageSetup orientation="portrait" r:id="rId1"/>
  <ignoredErrors>
    <ignoredError sqref="C68:C75 C76:C88" formula="1"/>
  </ignoredErrors>
  <drawing r:id="rId2"/>
  <legacyDrawing r:id="rId3"/>
  <extLst>
    <ext xmlns:x14="http://schemas.microsoft.com/office/spreadsheetml/2009/9/main" uri="{05C60535-1F16-4fd2-B633-F4F36F0B64E0}">
      <x14:sparklineGroups xmlns:xm="http://schemas.microsoft.com/office/excel/2006/main">
        <x14:sparklineGroup displayEmptyCellsAs="gap" xr2:uid="{3663F4C8-0670-45FA-BC31-E25F59A65308}">
          <x14:colorSeries rgb="FF376092"/>
          <x14:colorNegative rgb="FFD00000"/>
          <x14:colorAxis rgb="FF000000"/>
          <x14:colorMarkers rgb="FFD00000"/>
          <x14:colorFirst rgb="FFD00000"/>
          <x14:colorLast rgb="FFD00000"/>
          <x14:colorHigh rgb="FFD00000"/>
          <x14:colorLow rgb="FFD00000"/>
          <x14:sparklines>
            <x14:sparkline>
              <xm:f>'Hummus Town, growing stock'!E68:E88</xm:f>
              <xm:sqref>E90</xm:sqref>
            </x14:sparkline>
          </x14:sparklines>
        </x14:sparklineGroup>
        <x14:sparklineGroup displayEmptyCellsAs="gap" xr2:uid="{87943E32-F79A-4745-BB58-D8ECFC13F87F}">
          <x14:colorSeries rgb="FF376092"/>
          <x14:colorNegative rgb="FFD00000"/>
          <x14:colorAxis rgb="FF000000"/>
          <x14:colorMarkers rgb="FFD00000"/>
          <x14:colorFirst rgb="FFD00000"/>
          <x14:colorLast rgb="FFD00000"/>
          <x14:colorHigh rgb="FFD00000"/>
          <x14:colorLow rgb="FFD00000"/>
          <x14:sparklines>
            <x14:sparkline>
              <xm:f>'Hummus Town, growing stock'!E37:E57</xm:f>
              <xm:sqref>E59</xm:sqref>
            </x14:sparkline>
          </x14:sparklines>
        </x14:sparklineGroup>
        <x14:sparklineGroup displayEmptyCellsAs="gap" xr2:uid="{5944841F-1540-41A3-BC5E-7E58290000C4}">
          <x14:colorSeries rgb="FF376092"/>
          <x14:colorNegative rgb="FFD00000"/>
          <x14:colorAxis rgb="FF000000"/>
          <x14:colorMarkers rgb="FFD00000"/>
          <x14:colorFirst rgb="FFD00000"/>
          <x14:colorLast rgb="FFD00000"/>
          <x14:colorHigh rgb="FFD00000"/>
          <x14:colorLow rgb="FFD00000"/>
          <x14:sparklines>
            <x14:sparkline>
              <xm:f>'Hummus Town, growing stock'!G37:AA37</xm:f>
              <xm:sqref>AB37</xm:sqref>
            </x14:sparkline>
            <x14:sparkline>
              <xm:f>'Hummus Town, growing stock'!G38:AA38</xm:f>
              <xm:sqref>AB38</xm:sqref>
            </x14:sparkline>
            <x14:sparkline>
              <xm:f>'Hummus Town, growing stock'!G39:AA39</xm:f>
              <xm:sqref>AB39</xm:sqref>
            </x14:sparkline>
            <x14:sparkline>
              <xm:f>'Hummus Town, growing stock'!G40:AA40</xm:f>
              <xm:sqref>AB40</xm:sqref>
            </x14:sparkline>
            <x14:sparkline>
              <xm:f>'Hummus Town, growing stock'!G41:AA41</xm:f>
              <xm:sqref>AB41</xm:sqref>
            </x14:sparkline>
            <x14:sparkline>
              <xm:f>'Hummus Town, growing stock'!G42:AA42</xm:f>
              <xm:sqref>AB42</xm:sqref>
            </x14:sparkline>
            <x14:sparkline>
              <xm:f>'Hummus Town, growing stock'!G43:AA43</xm:f>
              <xm:sqref>AB43</xm:sqref>
            </x14:sparkline>
            <x14:sparkline>
              <xm:f>'Hummus Town, growing stock'!G44:AA44</xm:f>
              <xm:sqref>AB44</xm:sqref>
            </x14:sparkline>
            <x14:sparkline>
              <xm:f>'Hummus Town, growing stock'!G45:AA45</xm:f>
              <xm:sqref>AB45</xm:sqref>
            </x14:sparkline>
            <x14:sparkline>
              <xm:f>'Hummus Town, growing stock'!G46:AA46</xm:f>
              <xm:sqref>AB46</xm:sqref>
            </x14:sparkline>
            <x14:sparkline>
              <xm:f>'Hummus Town, growing stock'!G47:AA47</xm:f>
              <xm:sqref>AB47</xm:sqref>
            </x14:sparkline>
            <x14:sparkline>
              <xm:f>'Hummus Town, growing stock'!G48:AA48</xm:f>
              <xm:sqref>AB48</xm:sqref>
            </x14:sparkline>
            <x14:sparkline>
              <xm:f>'Hummus Town, growing stock'!G49:AA49</xm:f>
              <xm:sqref>AB49</xm:sqref>
            </x14:sparkline>
            <x14:sparkline>
              <xm:f>'Hummus Town, growing stock'!G50:AA50</xm:f>
              <xm:sqref>AB50</xm:sqref>
            </x14:sparkline>
            <x14:sparkline>
              <xm:f>'Hummus Town, growing stock'!G51:AA51</xm:f>
              <xm:sqref>AB51</xm:sqref>
            </x14:sparkline>
            <x14:sparkline>
              <xm:f>'Hummus Town, growing stock'!G52:AA52</xm:f>
              <xm:sqref>AB52</xm:sqref>
            </x14:sparkline>
            <x14:sparkline>
              <xm:f>'Hummus Town, growing stock'!G53:AA53</xm:f>
              <xm:sqref>AB53</xm:sqref>
            </x14:sparkline>
            <x14:sparkline>
              <xm:f>'Hummus Town, growing stock'!G54:AA54</xm:f>
              <xm:sqref>AB54</xm:sqref>
            </x14:sparkline>
            <x14:sparkline>
              <xm:f>'Hummus Town, growing stock'!G55:AA55</xm:f>
              <xm:sqref>AB55</xm:sqref>
            </x14:sparkline>
            <x14:sparkline>
              <xm:f>'Hummus Town, growing stock'!G56:AA56</xm:f>
              <xm:sqref>AB56</xm:sqref>
            </x14:sparkline>
            <x14:sparkline>
              <xm:f>'Hummus Town, growing stock'!G57:AA57</xm:f>
              <xm:sqref>AB57</xm:sqref>
            </x14:sparkline>
            <x14:sparkline>
              <xm:f>'Hummus Town, growing stock'!G58:AA58</xm:f>
              <xm:sqref>AB58</xm:sqref>
            </x14:sparkline>
          </x14:sparklines>
        </x14:sparklineGroup>
        <x14:sparklineGroup displayEmptyCellsAs="gap" xr2:uid="{B1108572-E861-443F-86CF-451D97BDB8CA}">
          <x14:colorSeries rgb="FF376092"/>
          <x14:colorNegative rgb="FFD00000"/>
          <x14:colorAxis rgb="FF000000"/>
          <x14:colorMarkers rgb="FFD00000"/>
          <x14:colorFirst rgb="FFD00000"/>
          <x14:colorLast rgb="FFD00000"/>
          <x14:colorHigh rgb="FFD00000"/>
          <x14:colorLow rgb="FFD00000"/>
          <x14:sparklines>
            <x14:sparkline>
              <xm:f>'Hummus Town, growing stock'!AF37:AZ37</xm:f>
              <xm:sqref>BA37</xm:sqref>
            </x14:sparkline>
            <x14:sparkline>
              <xm:f>'Hummus Town, growing stock'!AF38:AZ38</xm:f>
              <xm:sqref>BA38</xm:sqref>
            </x14:sparkline>
            <x14:sparkline>
              <xm:f>'Hummus Town, growing stock'!AF39:AZ39</xm:f>
              <xm:sqref>BA39</xm:sqref>
            </x14:sparkline>
            <x14:sparkline>
              <xm:f>'Hummus Town, growing stock'!AF40:AZ40</xm:f>
              <xm:sqref>BA40</xm:sqref>
            </x14:sparkline>
            <x14:sparkline>
              <xm:f>'Hummus Town, growing stock'!AF41:AZ41</xm:f>
              <xm:sqref>BA41</xm:sqref>
            </x14:sparkline>
            <x14:sparkline>
              <xm:f>'Hummus Town, growing stock'!AF42:AZ42</xm:f>
              <xm:sqref>BA42</xm:sqref>
            </x14:sparkline>
            <x14:sparkline>
              <xm:f>'Hummus Town, growing stock'!AF43:AZ43</xm:f>
              <xm:sqref>BA43</xm:sqref>
            </x14:sparkline>
            <x14:sparkline>
              <xm:f>'Hummus Town, growing stock'!AF44:AZ44</xm:f>
              <xm:sqref>BA44</xm:sqref>
            </x14:sparkline>
            <x14:sparkline>
              <xm:f>'Hummus Town, growing stock'!AF45:AZ45</xm:f>
              <xm:sqref>BA45</xm:sqref>
            </x14:sparkline>
            <x14:sparkline>
              <xm:f>'Hummus Town, growing stock'!AF46:AZ46</xm:f>
              <xm:sqref>BA46</xm:sqref>
            </x14:sparkline>
            <x14:sparkline>
              <xm:f>'Hummus Town, growing stock'!AF47:AZ47</xm:f>
              <xm:sqref>BA47</xm:sqref>
            </x14:sparkline>
            <x14:sparkline>
              <xm:f>'Hummus Town, growing stock'!AF48:AZ48</xm:f>
              <xm:sqref>BA48</xm:sqref>
            </x14:sparkline>
            <x14:sparkline>
              <xm:f>'Hummus Town, growing stock'!AF49:AZ49</xm:f>
              <xm:sqref>BA49</xm:sqref>
            </x14:sparkline>
            <x14:sparkline>
              <xm:f>'Hummus Town, growing stock'!AF50:AZ50</xm:f>
              <xm:sqref>BA50</xm:sqref>
            </x14:sparkline>
            <x14:sparkline>
              <xm:f>'Hummus Town, growing stock'!AF51:AZ51</xm:f>
              <xm:sqref>BA51</xm:sqref>
            </x14:sparkline>
            <x14:sparkline>
              <xm:f>'Hummus Town, growing stock'!AF52:AZ52</xm:f>
              <xm:sqref>BA52</xm:sqref>
            </x14:sparkline>
            <x14:sparkline>
              <xm:f>'Hummus Town, growing stock'!AF53:AZ53</xm:f>
              <xm:sqref>BA53</xm:sqref>
            </x14:sparkline>
            <x14:sparkline>
              <xm:f>'Hummus Town, growing stock'!AF54:AZ54</xm:f>
              <xm:sqref>BA54</xm:sqref>
            </x14:sparkline>
            <x14:sparkline>
              <xm:f>'Hummus Town, growing stock'!AF55:AZ55</xm:f>
              <xm:sqref>BA55</xm:sqref>
            </x14:sparkline>
            <x14:sparkline>
              <xm:f>'Hummus Town, growing stock'!AF56:AZ56</xm:f>
              <xm:sqref>BA56</xm:sqref>
            </x14:sparkline>
            <x14:sparkline>
              <xm:f>'Hummus Town, growing stock'!AF57:AZ57</xm:f>
              <xm:sqref>BA57</xm:sqref>
            </x14:sparkline>
            <x14:sparkline>
              <xm:f>'Hummus Town, growing stock'!AF58:AZ58</xm:f>
              <xm:sqref>BA58</xm:sqref>
            </x14:sparkline>
          </x14:sparklines>
        </x14:sparklineGroup>
        <x14:sparklineGroup displayEmptyCellsAs="gap" xr2:uid="{D033692F-06E9-4E3D-B673-97CFDD7F6116}">
          <x14:colorSeries rgb="FF376092"/>
          <x14:colorNegative rgb="FFD00000"/>
          <x14:colorAxis rgb="FF000000"/>
          <x14:colorMarkers rgb="FFD00000"/>
          <x14:colorFirst rgb="FFD00000"/>
          <x14:colorLast rgb="FFD00000"/>
          <x14:colorHigh rgb="FFD00000"/>
          <x14:colorLow rgb="FFD00000"/>
          <x14:sparklines>
            <x14:sparkline>
              <xm:f>'Hummus Town, growing stock'!AD37:AD57</xm:f>
              <xm:sqref>AD59</xm:sqref>
            </x14:sparkline>
          </x14:sparklines>
        </x14:sparklineGroup>
        <x14:sparklineGroup displayEmptyCellsAs="gap" xr2:uid="{23EAA712-9B44-45B0-9716-C81FFB21D60F}">
          <x14:colorSeries rgb="FF376092"/>
          <x14:colorNegative rgb="FFD00000"/>
          <x14:colorAxis rgb="FF000000"/>
          <x14:colorMarkers rgb="FFD00000"/>
          <x14:colorFirst rgb="FFD00000"/>
          <x14:colorLast rgb="FFD00000"/>
          <x14:colorHigh rgb="FFD00000"/>
          <x14:colorLow rgb="FFD00000"/>
          <x14:sparklines>
            <x14:sparkline>
              <xm:f>'Hummus Town, growing stock'!G65:AA65</xm:f>
              <xm:sqref>AB65</xm:sqref>
            </x14:sparkline>
          </x14:sparklines>
        </x14:sparklineGroup>
        <x14:sparklineGroup displayEmptyCellsAs="gap" xr2:uid="{7DA800B1-7699-4FEF-B96F-DA88343E0BC3}">
          <x14:colorSeries rgb="FF376092"/>
          <x14:colorNegative rgb="FFD00000"/>
          <x14:colorAxis rgb="FF000000"/>
          <x14:colorMarkers rgb="FFD00000"/>
          <x14:colorFirst rgb="FFD00000"/>
          <x14:colorLast rgb="FFD00000"/>
          <x14:colorHigh rgb="FFD00000"/>
          <x14:colorLow rgb="FFD00000"/>
          <x14:sparklines>
            <x14:sparkline>
              <xm:f>'Hummus Town, growing stock'!AD68:AD88</xm:f>
              <xm:sqref>AD90</xm:sqref>
            </x14:sparkline>
          </x14:sparklines>
        </x14:sparklineGroup>
        <x14:sparklineGroup displayEmptyCellsAs="gap" xr2:uid="{238B4EB0-D058-4D59-BA57-E1F6A2D8C15B}">
          <x14:colorSeries rgb="FF376092"/>
          <x14:colorNegative rgb="FFD00000"/>
          <x14:colorAxis rgb="FF000000"/>
          <x14:colorMarkers rgb="FFD00000"/>
          <x14:colorFirst rgb="FFD00000"/>
          <x14:colorLast rgb="FFD00000"/>
          <x14:colorHigh rgb="FFD00000"/>
          <x14:colorLow rgb="FFD00000"/>
          <x14:sparklines>
            <x14:sparkline>
              <xm:f>'Hummus Town, growing stock'!G34:AA34</xm:f>
              <xm:sqref>AB34</xm:sqref>
            </x14:sparkline>
          </x14:sparklines>
        </x14:sparklineGroup>
        <x14:sparklineGroup displayEmptyCellsAs="gap" xr2:uid="{645F853A-DD69-4BD3-A036-486A096AAAEC}">
          <x14:colorSeries rgb="FF376092"/>
          <x14:colorNegative rgb="FFD00000"/>
          <x14:colorAxis rgb="FF000000"/>
          <x14:colorMarkers rgb="FFD00000"/>
          <x14:colorFirst rgb="FFD00000"/>
          <x14:colorLast rgb="FFD00000"/>
          <x14:colorHigh rgb="FFD00000"/>
          <x14:colorLow rgb="FFD00000"/>
          <x14:sparklines>
            <x14:sparkline>
              <xm:f>'Hummus Town, growing stock'!AF68:AZ68</xm:f>
              <xm:sqref>BA68</xm:sqref>
            </x14:sparkline>
            <x14:sparkline>
              <xm:f>'Hummus Town, growing stock'!AF69:AZ69</xm:f>
              <xm:sqref>BA69</xm:sqref>
            </x14:sparkline>
            <x14:sparkline>
              <xm:f>'Hummus Town, growing stock'!AF70:AZ70</xm:f>
              <xm:sqref>BA70</xm:sqref>
            </x14:sparkline>
            <x14:sparkline>
              <xm:f>'Hummus Town, growing stock'!AF71:AZ71</xm:f>
              <xm:sqref>BA71</xm:sqref>
            </x14:sparkline>
            <x14:sparkline>
              <xm:f>'Hummus Town, growing stock'!AF72:AZ72</xm:f>
              <xm:sqref>BA72</xm:sqref>
            </x14:sparkline>
            <x14:sparkline>
              <xm:f>'Hummus Town, growing stock'!AF73:AZ73</xm:f>
              <xm:sqref>BA73</xm:sqref>
            </x14:sparkline>
            <x14:sparkline>
              <xm:f>'Hummus Town, growing stock'!AF74:AZ74</xm:f>
              <xm:sqref>BA74</xm:sqref>
            </x14:sparkline>
            <x14:sparkline>
              <xm:f>'Hummus Town, growing stock'!AF75:AZ75</xm:f>
              <xm:sqref>BA75</xm:sqref>
            </x14:sparkline>
            <x14:sparkline>
              <xm:f>'Hummus Town, growing stock'!AF76:AZ76</xm:f>
              <xm:sqref>BA76</xm:sqref>
            </x14:sparkline>
            <x14:sparkline>
              <xm:f>'Hummus Town, growing stock'!AF77:AZ77</xm:f>
              <xm:sqref>BA77</xm:sqref>
            </x14:sparkline>
            <x14:sparkline>
              <xm:f>'Hummus Town, growing stock'!AF78:AZ78</xm:f>
              <xm:sqref>BA78</xm:sqref>
            </x14:sparkline>
            <x14:sparkline>
              <xm:f>'Hummus Town, growing stock'!AF79:AZ79</xm:f>
              <xm:sqref>BA79</xm:sqref>
            </x14:sparkline>
            <x14:sparkline>
              <xm:f>'Hummus Town, growing stock'!AF80:AZ80</xm:f>
              <xm:sqref>BA80</xm:sqref>
            </x14:sparkline>
            <x14:sparkline>
              <xm:f>'Hummus Town, growing stock'!AF81:AZ81</xm:f>
              <xm:sqref>BA81</xm:sqref>
            </x14:sparkline>
            <x14:sparkline>
              <xm:f>'Hummus Town, growing stock'!AF82:AZ82</xm:f>
              <xm:sqref>BA82</xm:sqref>
            </x14:sparkline>
            <x14:sparkline>
              <xm:f>'Hummus Town, growing stock'!AF83:AZ83</xm:f>
              <xm:sqref>BA83</xm:sqref>
            </x14:sparkline>
            <x14:sparkline>
              <xm:f>'Hummus Town, growing stock'!AF84:AZ84</xm:f>
              <xm:sqref>BA84</xm:sqref>
            </x14:sparkline>
            <x14:sparkline>
              <xm:f>'Hummus Town, growing stock'!AF85:AZ85</xm:f>
              <xm:sqref>BA85</xm:sqref>
            </x14:sparkline>
            <x14:sparkline>
              <xm:f>'Hummus Town, growing stock'!AF86:AZ86</xm:f>
              <xm:sqref>BA86</xm:sqref>
            </x14:sparkline>
            <x14:sparkline>
              <xm:f>'Hummus Town, growing stock'!AF87:AZ87</xm:f>
              <xm:sqref>BA87</xm:sqref>
            </x14:sparkline>
            <x14:sparkline>
              <xm:f>'Hummus Town, growing stock'!AF88:AZ88</xm:f>
              <xm:sqref>BA88</xm:sqref>
            </x14:sparkline>
            <x14:sparkline>
              <xm:f>'Hummus Town, growing stock'!AF89:AZ89</xm:f>
              <xm:sqref>BA89</xm:sqref>
            </x14:sparkline>
          </x14:sparklines>
        </x14:sparklineGroup>
        <x14:sparklineGroup displayEmptyCellsAs="gap" xr2:uid="{114C220E-163E-44FF-8953-5FFB0C6A0D34}">
          <x14:colorSeries rgb="FF376092"/>
          <x14:colorNegative rgb="FFD00000"/>
          <x14:colorAxis rgb="FF000000"/>
          <x14:colorMarkers rgb="FFD00000"/>
          <x14:colorFirst rgb="FFD00000"/>
          <x14:colorLast rgb="FFD00000"/>
          <x14:colorHigh rgb="FFD00000"/>
          <x14:colorLow rgb="FFD00000"/>
          <x14:sparklines>
            <x14:sparkline>
              <xm:f>'Hummus Town, growing stock'!G68:AA68</xm:f>
              <xm:sqref>AB68</xm:sqref>
            </x14:sparkline>
            <x14:sparkline>
              <xm:f>'Hummus Town, growing stock'!G69:AA69</xm:f>
              <xm:sqref>AB69</xm:sqref>
            </x14:sparkline>
            <x14:sparkline>
              <xm:f>'Hummus Town, growing stock'!G70:AA70</xm:f>
              <xm:sqref>AB70</xm:sqref>
            </x14:sparkline>
            <x14:sparkline>
              <xm:f>'Hummus Town, growing stock'!G71:AA71</xm:f>
              <xm:sqref>AB71</xm:sqref>
            </x14:sparkline>
            <x14:sparkline>
              <xm:f>'Hummus Town, growing stock'!G72:AA72</xm:f>
              <xm:sqref>AB72</xm:sqref>
            </x14:sparkline>
            <x14:sparkline>
              <xm:f>'Hummus Town, growing stock'!G73:AA73</xm:f>
              <xm:sqref>AB73</xm:sqref>
            </x14:sparkline>
            <x14:sparkline>
              <xm:f>'Hummus Town, growing stock'!G74:AA74</xm:f>
              <xm:sqref>AB74</xm:sqref>
            </x14:sparkline>
            <x14:sparkline>
              <xm:f>'Hummus Town, growing stock'!G75:AA75</xm:f>
              <xm:sqref>AB75</xm:sqref>
            </x14:sparkline>
            <x14:sparkline>
              <xm:f>'Hummus Town, growing stock'!G76:AA76</xm:f>
              <xm:sqref>AB76</xm:sqref>
            </x14:sparkline>
            <x14:sparkline>
              <xm:f>'Hummus Town, growing stock'!G77:AA77</xm:f>
              <xm:sqref>AB77</xm:sqref>
            </x14:sparkline>
            <x14:sparkline>
              <xm:f>'Hummus Town, growing stock'!G78:AA78</xm:f>
              <xm:sqref>AB78</xm:sqref>
            </x14:sparkline>
            <x14:sparkline>
              <xm:f>'Hummus Town, growing stock'!G79:AA79</xm:f>
              <xm:sqref>AB79</xm:sqref>
            </x14:sparkline>
            <x14:sparkline>
              <xm:f>'Hummus Town, growing stock'!G80:AA80</xm:f>
              <xm:sqref>AB80</xm:sqref>
            </x14:sparkline>
            <x14:sparkline>
              <xm:f>'Hummus Town, growing stock'!G81:AA81</xm:f>
              <xm:sqref>AB81</xm:sqref>
            </x14:sparkline>
            <x14:sparkline>
              <xm:f>'Hummus Town, growing stock'!G82:AA82</xm:f>
              <xm:sqref>AB82</xm:sqref>
            </x14:sparkline>
            <x14:sparkline>
              <xm:f>'Hummus Town, growing stock'!G83:AA83</xm:f>
              <xm:sqref>AB83</xm:sqref>
            </x14:sparkline>
            <x14:sparkline>
              <xm:f>'Hummus Town, growing stock'!G84:AA84</xm:f>
              <xm:sqref>AB84</xm:sqref>
            </x14:sparkline>
            <x14:sparkline>
              <xm:f>'Hummus Town, growing stock'!G85:AA85</xm:f>
              <xm:sqref>AB85</xm:sqref>
            </x14:sparkline>
            <x14:sparkline>
              <xm:f>'Hummus Town, growing stock'!G86:AA86</xm:f>
              <xm:sqref>AB86</xm:sqref>
            </x14:sparkline>
            <x14:sparkline>
              <xm:f>'Hummus Town, growing stock'!G87:AA87</xm:f>
              <xm:sqref>AB87</xm:sqref>
            </x14:sparkline>
            <x14:sparkline>
              <xm:f>'Hummus Town, growing stock'!G88:AA88</xm:f>
              <xm:sqref>AB88</xm:sqref>
            </x14:sparkline>
            <x14:sparkline>
              <xm:f>'Hummus Town, growing stock'!G89:AA89</xm:f>
              <xm:sqref>AB89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1EF6-8345-4E80-B465-44DA5F993769}">
  <dimension ref="B1:AZ87"/>
  <sheetViews>
    <sheetView showGridLines="0" topLeftCell="A13" zoomScale="60" zoomScaleNormal="60" workbookViewId="0">
      <selection activeCell="B33" sqref="B33"/>
    </sheetView>
  </sheetViews>
  <sheetFormatPr defaultRowHeight="14.4" x14ac:dyDescent="0.3"/>
  <cols>
    <col min="2" max="2" width="10.44140625" customWidth="1"/>
    <col min="3" max="3" width="10.6640625" customWidth="1"/>
    <col min="4" max="4" width="10.5546875" customWidth="1"/>
    <col min="5" max="5" width="11.44140625" style="106" customWidth="1"/>
    <col min="6" max="6" width="12" customWidth="1"/>
    <col min="30" max="30" width="11.88671875" customWidth="1"/>
    <col min="31" max="31" width="13.109375" customWidth="1"/>
  </cols>
  <sheetData>
    <row r="1" spans="5:26" ht="41.1" customHeight="1" x14ac:dyDescent="0.45">
      <c r="E1" s="171" t="s">
        <v>89</v>
      </c>
    </row>
    <row r="3" spans="5:26" x14ac:dyDescent="0.3">
      <c r="E3" s="159" t="s">
        <v>70</v>
      </c>
      <c r="F3" s="160"/>
      <c r="G3" s="160"/>
      <c r="H3" s="160"/>
      <c r="I3" s="160"/>
      <c r="J3" s="160"/>
      <c r="K3" s="160"/>
      <c r="L3" s="160"/>
      <c r="M3" s="160"/>
      <c r="N3" s="160"/>
      <c r="O3" s="160"/>
      <c r="P3" s="160"/>
      <c r="Q3" s="160"/>
      <c r="R3" s="160"/>
      <c r="S3" s="160"/>
      <c r="T3" s="160"/>
      <c r="U3" s="160"/>
      <c r="V3" s="160"/>
      <c r="W3" s="160"/>
      <c r="X3" s="160"/>
      <c r="Y3" s="160"/>
      <c r="Z3" s="161"/>
    </row>
    <row r="4" spans="5:26" x14ac:dyDescent="0.3">
      <c r="E4" s="162" t="s">
        <v>69</v>
      </c>
      <c r="F4" s="106">
        <v>0</v>
      </c>
      <c r="G4" s="106">
        <v>10</v>
      </c>
      <c r="H4" s="106">
        <v>20</v>
      </c>
      <c r="I4" s="106">
        <v>30</v>
      </c>
      <c r="J4" s="106">
        <v>40</v>
      </c>
      <c r="K4" s="106">
        <v>50</v>
      </c>
      <c r="L4" s="106">
        <v>60</v>
      </c>
      <c r="M4" s="106">
        <v>70</v>
      </c>
      <c r="N4" s="106">
        <v>80</v>
      </c>
      <c r="O4" s="106">
        <v>90</v>
      </c>
      <c r="P4" s="106">
        <v>100</v>
      </c>
      <c r="Q4" s="106">
        <v>110</v>
      </c>
      <c r="R4" s="106">
        <v>120</v>
      </c>
      <c r="S4" s="106">
        <v>130</v>
      </c>
      <c r="T4" s="106">
        <v>140</v>
      </c>
      <c r="U4" s="106">
        <v>150</v>
      </c>
      <c r="V4" s="106">
        <v>160</v>
      </c>
      <c r="W4" s="106">
        <v>170</v>
      </c>
      <c r="X4" s="106">
        <v>180</v>
      </c>
      <c r="Y4" s="106">
        <v>190</v>
      </c>
      <c r="Z4" s="163">
        <v>200</v>
      </c>
    </row>
    <row r="5" spans="5:26" x14ac:dyDescent="0.3">
      <c r="E5" s="178" t="s">
        <v>71</v>
      </c>
      <c r="F5" s="165">
        <v>0</v>
      </c>
      <c r="G5" s="165">
        <v>0</v>
      </c>
      <c r="H5" s="165">
        <v>0.11504703334995268</v>
      </c>
      <c r="I5" s="165">
        <v>0.25784901175190594</v>
      </c>
      <c r="J5" s="165">
        <v>0.27123381755758114</v>
      </c>
      <c r="K5" s="165">
        <v>0.19410332675175238</v>
      </c>
      <c r="L5" s="165">
        <v>0.1028068789159622</v>
      </c>
      <c r="M5" s="165">
        <v>4.1656389502571667E-2</v>
      </c>
      <c r="N5" s="165">
        <v>1.3126205671847179E-2</v>
      </c>
      <c r="O5" s="165">
        <v>4.0000000000000001E-3</v>
      </c>
      <c r="P5" s="165">
        <v>0</v>
      </c>
      <c r="Q5" s="165">
        <v>0</v>
      </c>
      <c r="R5" s="165">
        <v>0</v>
      </c>
      <c r="S5" s="165">
        <v>0</v>
      </c>
      <c r="T5" s="165">
        <v>0</v>
      </c>
      <c r="U5" s="165">
        <v>0</v>
      </c>
      <c r="V5" s="165">
        <v>0</v>
      </c>
      <c r="W5" s="165">
        <v>0</v>
      </c>
      <c r="X5" s="165">
        <v>0</v>
      </c>
      <c r="Y5" s="165">
        <v>0</v>
      </c>
      <c r="Z5" s="166">
        <v>0</v>
      </c>
    </row>
    <row r="7" spans="5:26" x14ac:dyDescent="0.3">
      <c r="E7" s="159" t="s">
        <v>72</v>
      </c>
      <c r="F7" s="160"/>
      <c r="G7" s="168">
        <v>40</v>
      </c>
      <c r="H7" s="160" t="s">
        <v>83</v>
      </c>
      <c r="I7" s="160"/>
      <c r="J7" s="160"/>
      <c r="K7" s="160"/>
      <c r="L7" s="160"/>
      <c r="M7" s="160"/>
      <c r="N7" s="160"/>
      <c r="O7" s="160"/>
      <c r="P7" s="160"/>
      <c r="Q7" s="160"/>
      <c r="R7" s="160"/>
      <c r="S7" s="160"/>
      <c r="T7" s="160"/>
      <c r="U7" s="160"/>
      <c r="V7" s="160"/>
      <c r="W7" s="160"/>
      <c r="X7" s="160"/>
      <c r="Y7" s="160"/>
      <c r="Z7" s="161"/>
    </row>
    <row r="8" spans="5:26" x14ac:dyDescent="0.3">
      <c r="E8" s="162" t="s">
        <v>77</v>
      </c>
      <c r="Z8" s="167"/>
    </row>
    <row r="9" spans="5:26" x14ac:dyDescent="0.3">
      <c r="E9" s="162" t="s">
        <v>69</v>
      </c>
      <c r="F9" s="106">
        <v>0</v>
      </c>
      <c r="G9" s="106">
        <v>10</v>
      </c>
      <c r="H9" s="106">
        <v>20</v>
      </c>
      <c r="I9" s="106">
        <v>30</v>
      </c>
      <c r="J9" s="106">
        <v>40</v>
      </c>
      <c r="K9" s="106">
        <v>50</v>
      </c>
      <c r="L9" s="106">
        <v>60</v>
      </c>
      <c r="M9" s="106">
        <v>70</v>
      </c>
      <c r="N9" s="106">
        <v>80</v>
      </c>
      <c r="O9" s="106">
        <v>90</v>
      </c>
      <c r="P9" s="106">
        <v>100</v>
      </c>
      <c r="Q9" s="106">
        <v>110</v>
      </c>
      <c r="R9" s="106">
        <v>120</v>
      </c>
      <c r="S9" s="106">
        <v>130</v>
      </c>
      <c r="T9" s="106">
        <v>140</v>
      </c>
      <c r="U9" s="106">
        <v>150</v>
      </c>
      <c r="V9" s="106">
        <v>160</v>
      </c>
      <c r="W9" s="106">
        <v>170</v>
      </c>
      <c r="X9" s="106">
        <v>180</v>
      </c>
      <c r="Y9" s="106">
        <v>190</v>
      </c>
      <c r="Z9" s="163">
        <v>200</v>
      </c>
    </row>
    <row r="10" spans="5:26" x14ac:dyDescent="0.3">
      <c r="E10" s="178" t="s">
        <v>71</v>
      </c>
      <c r="F10" s="165">
        <f>IFERROR(INDEX($F$5:$O$5,MATCH(F$9-$G$7,$F$4:$O$4,0)),0)</f>
        <v>0</v>
      </c>
      <c r="G10" s="165">
        <f t="shared" ref="G10:Z10" si="0">IFERROR(INDEX($F$5:$O$5,MATCH(G$9-$G$7,$F$4:$O$4,0)),0)</f>
        <v>0</v>
      </c>
      <c r="H10" s="165">
        <f t="shared" si="0"/>
        <v>0</v>
      </c>
      <c r="I10" s="165">
        <f t="shared" si="0"/>
        <v>0</v>
      </c>
      <c r="J10" s="165">
        <f t="shared" si="0"/>
        <v>0</v>
      </c>
      <c r="K10" s="165">
        <f t="shared" si="0"/>
        <v>0</v>
      </c>
      <c r="L10" s="165">
        <f t="shared" si="0"/>
        <v>0.11504703334995268</v>
      </c>
      <c r="M10" s="165">
        <f t="shared" si="0"/>
        <v>0.25784901175190594</v>
      </c>
      <c r="N10" s="165">
        <f t="shared" si="0"/>
        <v>0.27123381755758114</v>
      </c>
      <c r="O10" s="165">
        <f t="shared" si="0"/>
        <v>0.19410332675175238</v>
      </c>
      <c r="P10" s="165">
        <f t="shared" si="0"/>
        <v>0.1028068789159622</v>
      </c>
      <c r="Q10" s="165">
        <f t="shared" si="0"/>
        <v>4.1656389502571667E-2</v>
      </c>
      <c r="R10" s="165">
        <f t="shared" si="0"/>
        <v>1.3126205671847179E-2</v>
      </c>
      <c r="S10" s="165">
        <f t="shared" si="0"/>
        <v>4.0000000000000001E-3</v>
      </c>
      <c r="T10" s="165">
        <f t="shared" si="0"/>
        <v>0</v>
      </c>
      <c r="U10" s="165">
        <f t="shared" si="0"/>
        <v>0</v>
      </c>
      <c r="V10" s="165">
        <f t="shared" si="0"/>
        <v>0</v>
      </c>
      <c r="W10" s="165">
        <f t="shared" si="0"/>
        <v>0</v>
      </c>
      <c r="X10" s="165">
        <f t="shared" si="0"/>
        <v>0</v>
      </c>
      <c r="Y10" s="165">
        <f t="shared" si="0"/>
        <v>0</v>
      </c>
      <c r="Z10" s="166">
        <f t="shared" si="0"/>
        <v>0</v>
      </c>
    </row>
    <row r="12" spans="5:26" x14ac:dyDescent="0.3">
      <c r="E12" s="106" t="s">
        <v>88</v>
      </c>
      <c r="H12" s="176">
        <v>1000</v>
      </c>
    </row>
    <row r="31" spans="4:32" x14ac:dyDescent="0.3">
      <c r="E31" s="170"/>
      <c r="F31" s="105"/>
      <c r="G31" s="106" t="s">
        <v>76</v>
      </c>
      <c r="H31" s="173"/>
      <c r="I31" s="173"/>
      <c r="J31" s="173"/>
      <c r="K31" s="173"/>
      <c r="L31" s="173"/>
      <c r="M31" s="173"/>
      <c r="N31" s="173"/>
      <c r="O31" s="173"/>
      <c r="P31" s="173"/>
      <c r="Q31" s="173"/>
      <c r="R31" s="173"/>
      <c r="S31" s="173"/>
      <c r="T31" s="173"/>
      <c r="U31" s="173"/>
      <c r="V31" s="173"/>
      <c r="W31" s="173"/>
      <c r="X31" s="173"/>
      <c r="Y31" s="173"/>
      <c r="Z31" s="173"/>
      <c r="AA31" s="173"/>
      <c r="AF31" s="106" t="s">
        <v>80</v>
      </c>
    </row>
    <row r="32" spans="4:32" x14ac:dyDescent="0.3">
      <c r="D32" s="234" t="s">
        <v>86</v>
      </c>
      <c r="E32" s="235"/>
      <c r="G32" s="106" t="s">
        <v>85</v>
      </c>
      <c r="AF32" s="106" t="s">
        <v>82</v>
      </c>
    </row>
    <row r="33" spans="4:52" x14ac:dyDescent="0.3">
      <c r="D33" s="106" t="s">
        <v>4</v>
      </c>
      <c r="E33" s="163" t="s">
        <v>87</v>
      </c>
      <c r="F33" s="106" t="s">
        <v>73</v>
      </c>
      <c r="G33" s="106">
        <v>2080</v>
      </c>
      <c r="H33" s="106">
        <v>2090</v>
      </c>
      <c r="I33" s="106">
        <v>2100</v>
      </c>
      <c r="J33" s="106">
        <v>2110</v>
      </c>
      <c r="K33" s="106">
        <v>2120</v>
      </c>
      <c r="L33" s="106">
        <v>2130</v>
      </c>
      <c r="M33" s="106">
        <v>2140</v>
      </c>
      <c r="N33" s="106">
        <v>2150</v>
      </c>
      <c r="O33" s="106">
        <v>2160</v>
      </c>
      <c r="P33" s="106">
        <v>2170</v>
      </c>
      <c r="Q33" s="106">
        <v>2180</v>
      </c>
      <c r="R33" s="106">
        <v>2190</v>
      </c>
      <c r="S33" s="106">
        <v>2200</v>
      </c>
      <c r="T33" s="106">
        <v>2210</v>
      </c>
      <c r="U33" s="106">
        <v>2220</v>
      </c>
      <c r="V33" s="106">
        <v>2230</v>
      </c>
      <c r="W33" s="106">
        <v>2240</v>
      </c>
      <c r="X33" s="106">
        <v>2250</v>
      </c>
      <c r="Y33" s="106">
        <v>2260</v>
      </c>
      <c r="Z33" s="106">
        <v>2270</v>
      </c>
      <c r="AA33" s="106">
        <v>2280</v>
      </c>
      <c r="AD33" s="163" t="s">
        <v>74</v>
      </c>
      <c r="AE33" s="106" t="s">
        <v>73</v>
      </c>
      <c r="AF33" s="106">
        <v>2080</v>
      </c>
      <c r="AG33" s="106">
        <v>2090</v>
      </c>
      <c r="AH33" s="106">
        <v>2100</v>
      </c>
      <c r="AI33" s="106">
        <v>2110</v>
      </c>
      <c r="AJ33" s="106">
        <v>2120</v>
      </c>
      <c r="AK33" s="106">
        <v>2130</v>
      </c>
      <c r="AL33" s="106">
        <v>2140</v>
      </c>
      <c r="AM33" s="106">
        <v>2150</v>
      </c>
      <c r="AN33" s="106">
        <v>2160</v>
      </c>
      <c r="AO33" s="106">
        <v>2170</v>
      </c>
      <c r="AP33" s="106">
        <v>2180</v>
      </c>
      <c r="AQ33" s="106">
        <v>2190</v>
      </c>
      <c r="AR33" s="106">
        <v>2200</v>
      </c>
      <c r="AS33" s="106">
        <v>2210</v>
      </c>
      <c r="AT33" s="106">
        <v>2220</v>
      </c>
      <c r="AU33" s="106">
        <v>2230</v>
      </c>
      <c r="AV33" s="106">
        <v>2240</v>
      </c>
      <c r="AW33" s="106">
        <v>2250</v>
      </c>
      <c r="AX33" s="106">
        <v>2260</v>
      </c>
      <c r="AY33" s="106">
        <v>2270</v>
      </c>
      <c r="AZ33" s="106">
        <v>2280</v>
      </c>
    </row>
    <row r="34" spans="4:52" x14ac:dyDescent="0.3">
      <c r="D34" s="177">
        <f>E34</f>
        <v>1000</v>
      </c>
      <c r="E34" s="170">
        <f>$H$12</f>
        <v>1000</v>
      </c>
      <c r="F34" s="157">
        <v>2080</v>
      </c>
      <c r="G34" s="149">
        <f t="shared" ref="G34:P43" si="1">IF(G$33&gt;=$F34,$E34*INDEX($F$5:$Z$5,MATCH(G$64-$F34,$F$4:$Z$4,0)),0)</f>
        <v>0</v>
      </c>
      <c r="H34" s="150">
        <f t="shared" si="1"/>
        <v>0</v>
      </c>
      <c r="I34" s="150">
        <f t="shared" si="1"/>
        <v>115.04703334995268</v>
      </c>
      <c r="J34" s="150">
        <f t="shared" si="1"/>
        <v>257.84901175190595</v>
      </c>
      <c r="K34" s="150">
        <f t="shared" si="1"/>
        <v>271.23381755758112</v>
      </c>
      <c r="L34" s="150">
        <f t="shared" si="1"/>
        <v>194.10332675175238</v>
      </c>
      <c r="M34" s="150">
        <f t="shared" si="1"/>
        <v>102.8068789159622</v>
      </c>
      <c r="N34" s="150">
        <f t="shared" si="1"/>
        <v>41.65638950257167</v>
      </c>
      <c r="O34" s="150">
        <f t="shared" si="1"/>
        <v>13.126205671847179</v>
      </c>
      <c r="P34" s="150">
        <f t="shared" si="1"/>
        <v>4</v>
      </c>
      <c r="Q34" s="150">
        <f t="shared" ref="Q34:AA43" si="2">IF(Q$33&gt;=$F34,$E34*INDEX($F$5:$Z$5,MATCH(Q$64-$F34,$F$4:$Z$4,0)),0)</f>
        <v>0</v>
      </c>
      <c r="R34" s="150">
        <f t="shared" si="2"/>
        <v>0</v>
      </c>
      <c r="S34" s="150">
        <f t="shared" si="2"/>
        <v>0</v>
      </c>
      <c r="T34" s="150">
        <f t="shared" si="2"/>
        <v>0</v>
      </c>
      <c r="U34" s="150">
        <f t="shared" si="2"/>
        <v>0</v>
      </c>
      <c r="V34" s="150">
        <f t="shared" si="2"/>
        <v>0</v>
      </c>
      <c r="W34" s="150">
        <f t="shared" si="2"/>
        <v>0</v>
      </c>
      <c r="X34" s="150">
        <f t="shared" si="2"/>
        <v>0</v>
      </c>
      <c r="Y34" s="150">
        <f t="shared" si="2"/>
        <v>0</v>
      </c>
      <c r="Z34" s="150">
        <f t="shared" si="2"/>
        <v>0</v>
      </c>
      <c r="AA34" s="151">
        <f t="shared" si="2"/>
        <v>0</v>
      </c>
      <c r="AD34" s="170">
        <f t="array" ref="AD34:AD54">E34:E54</f>
        <v>1000</v>
      </c>
      <c r="AE34" s="157">
        <v>2080</v>
      </c>
      <c r="AF34" s="149">
        <f>IF(G$33&gt;=$F34,$AD34-SUM($G34:G34),0)</f>
        <v>1000</v>
      </c>
      <c r="AG34" s="150">
        <f>IF(H$33&gt;=$F34,$AD34-SUM($G34:H34),0)</f>
        <v>1000</v>
      </c>
      <c r="AH34" s="150">
        <f>IF(I$33&gt;=$F34,$AD34-SUM($G34:I34),0)</f>
        <v>884.9529666500473</v>
      </c>
      <c r="AI34" s="150">
        <f>IF(J$33&gt;=$F34,$AD34-SUM($G34:J34),0)</f>
        <v>627.10395489814141</v>
      </c>
      <c r="AJ34" s="150">
        <f>IF(K$33&gt;=$F34,$AD34-SUM($G34:K34),0)</f>
        <v>355.87013734056018</v>
      </c>
      <c r="AK34" s="150">
        <f>IF(L$33&gt;=$F34,$AD34-SUM($G34:L34),0)</f>
        <v>161.76681058880786</v>
      </c>
      <c r="AL34" s="150">
        <f>IF(M$33&gt;=$F34,$AD34-SUM($G34:M34),0)</f>
        <v>58.959931672845642</v>
      </c>
      <c r="AM34" s="150">
        <f>IF(N$33&gt;=$F34,$AD34-SUM($G34:N34),0)</f>
        <v>17.303542170274</v>
      </c>
      <c r="AN34" s="150">
        <f>IF(O$33&gt;=$F34,$AD34-SUM($G34:O34),0)</f>
        <v>4.1773364984268255</v>
      </c>
      <c r="AO34" s="150">
        <f>IF(P$33&gt;=$F34,$AD34-SUM($G34:P34),0)</f>
        <v>0.17733649842682553</v>
      </c>
      <c r="AP34" s="150">
        <f>IF(Q$33&gt;=$F34,$AD34-SUM($G34:Q34),0)</f>
        <v>0.17733649842682553</v>
      </c>
      <c r="AQ34" s="150">
        <f>IF(R$33&gt;=$F34,$AD34-SUM($G34:R34),0)</f>
        <v>0.17733649842682553</v>
      </c>
      <c r="AR34" s="150">
        <f>IF(S$33&gt;=$F34,$AD34-SUM($G34:S34),0)</f>
        <v>0.17733649842682553</v>
      </c>
      <c r="AS34" s="150">
        <f>IF(T$33&gt;=$F34,$AD34-SUM($G34:T34),0)</f>
        <v>0.17733649842682553</v>
      </c>
      <c r="AT34" s="150">
        <f>IF(U$33&gt;=$F34,$AD34-SUM($G34:U34),0)</f>
        <v>0.17733649842682553</v>
      </c>
      <c r="AU34" s="150">
        <f>IF(V$33&gt;=$F34,$AD34-SUM($G34:V34),0)</f>
        <v>0.17733649842682553</v>
      </c>
      <c r="AV34" s="150">
        <f>IF(W$33&gt;=$F34,$AD34-SUM($G34:W34),0)</f>
        <v>0.17733649842682553</v>
      </c>
      <c r="AW34" s="150">
        <f>IF(X$33&gt;=$F34,$AD34-SUM($G34:X34),0)</f>
        <v>0.17733649842682553</v>
      </c>
      <c r="AX34" s="150">
        <f>IF(Y$33&gt;=$F34,$AD34-SUM($G34:Y34),0)</f>
        <v>0.17733649842682553</v>
      </c>
      <c r="AY34" s="150">
        <f>IF(Z$33&gt;=$F34,$AD34-SUM($G34:Z34),0)</f>
        <v>0.17733649842682553</v>
      </c>
      <c r="AZ34" s="151">
        <f>IF(AA$33&gt;=$F34,$AD34-SUM($G34:AA34),0)</f>
        <v>0.17733649842682553</v>
      </c>
    </row>
    <row r="35" spans="4:52" x14ac:dyDescent="0.3">
      <c r="D35" s="177">
        <f ca="1">D34+E35</f>
        <v>1000</v>
      </c>
      <c r="E35" s="170">
        <f ca="1">_xlfn.XLOOKUP(F35,$G$33:$AA$33,$G$55:$AA$55)</f>
        <v>0</v>
      </c>
      <c r="F35" s="157">
        <v>2090</v>
      </c>
      <c r="G35" s="152">
        <f t="shared" si="1"/>
        <v>0</v>
      </c>
      <c r="H35" s="153">
        <f t="shared" ca="1" si="1"/>
        <v>0</v>
      </c>
      <c r="I35" s="153">
        <f t="shared" ca="1" si="1"/>
        <v>0</v>
      </c>
      <c r="J35" s="153">
        <f t="shared" ca="1" si="1"/>
        <v>0</v>
      </c>
      <c r="K35" s="153">
        <f t="shared" ca="1" si="1"/>
        <v>0</v>
      </c>
      <c r="L35" s="153">
        <f t="shared" ca="1" si="1"/>
        <v>0</v>
      </c>
      <c r="M35" s="153">
        <f t="shared" ca="1" si="1"/>
        <v>0</v>
      </c>
      <c r="N35" s="153">
        <f t="shared" ca="1" si="1"/>
        <v>0</v>
      </c>
      <c r="O35" s="153">
        <f t="shared" ca="1" si="1"/>
        <v>0</v>
      </c>
      <c r="P35" s="153">
        <f t="shared" ca="1" si="1"/>
        <v>0</v>
      </c>
      <c r="Q35" s="153">
        <f t="shared" ca="1" si="2"/>
        <v>0</v>
      </c>
      <c r="R35" s="153">
        <f t="shared" ca="1" si="2"/>
        <v>0</v>
      </c>
      <c r="S35" s="153">
        <f t="shared" ca="1" si="2"/>
        <v>0</v>
      </c>
      <c r="T35" s="153">
        <f t="shared" ca="1" si="2"/>
        <v>0</v>
      </c>
      <c r="U35" s="153">
        <f t="shared" ca="1" si="2"/>
        <v>0</v>
      </c>
      <c r="V35" s="153">
        <f t="shared" ca="1" si="2"/>
        <v>0</v>
      </c>
      <c r="W35" s="153">
        <f t="shared" ca="1" si="2"/>
        <v>0</v>
      </c>
      <c r="X35" s="153">
        <f t="shared" ca="1" si="2"/>
        <v>0</v>
      </c>
      <c r="Y35" s="153">
        <f t="shared" ca="1" si="2"/>
        <v>0</v>
      </c>
      <c r="Z35" s="153">
        <f t="shared" ca="1" si="2"/>
        <v>0</v>
      </c>
      <c r="AA35" s="154">
        <f t="shared" ca="1" si="2"/>
        <v>0</v>
      </c>
      <c r="AD35" s="170">
        <f ca="1"/>
        <v>0</v>
      </c>
      <c r="AE35" s="157">
        <v>2090</v>
      </c>
      <c r="AF35" s="152">
        <f>IF(G$33&gt;=$F35,$AD35-SUM($G35:G35),0)</f>
        <v>0</v>
      </c>
      <c r="AG35" s="153">
        <f ca="1">IF(H$33&gt;=$F35,$AD35-SUM($G35:H35),0)</f>
        <v>0</v>
      </c>
      <c r="AH35" s="153">
        <f ca="1">IF(I$33&gt;=$F35,$AD35-SUM($G35:I35),0)</f>
        <v>0</v>
      </c>
      <c r="AI35" s="153">
        <f ca="1">IF(J$33&gt;=$F35,$AD35-SUM($G35:J35),0)</f>
        <v>0</v>
      </c>
      <c r="AJ35" s="153">
        <f ca="1">IF(K$33&gt;=$F35,$AD35-SUM($G35:K35),0)</f>
        <v>0</v>
      </c>
      <c r="AK35" s="153">
        <f ca="1">IF(L$33&gt;=$F35,$AD35-SUM($G35:L35),0)</f>
        <v>0</v>
      </c>
      <c r="AL35" s="153">
        <f ca="1">IF(M$33&gt;=$F35,$AD35-SUM($G35:M35),0)</f>
        <v>0</v>
      </c>
      <c r="AM35" s="153">
        <f ca="1">IF(N$33&gt;=$F35,$AD35-SUM($G35:N35),0)</f>
        <v>0</v>
      </c>
      <c r="AN35" s="153">
        <f ca="1">IF(O$33&gt;=$F35,$AD35-SUM($G35:O35),0)</f>
        <v>0</v>
      </c>
      <c r="AO35" s="153">
        <f ca="1">IF(P$33&gt;=$F35,$AD35-SUM($G35:P35),0)</f>
        <v>0</v>
      </c>
      <c r="AP35" s="153">
        <f ca="1">IF(Q$33&gt;=$F35,$AD35-SUM($G35:Q35),0)</f>
        <v>0</v>
      </c>
      <c r="AQ35" s="153">
        <f ca="1">IF(R$33&gt;=$F35,$AD35-SUM($G35:R35),0)</f>
        <v>0</v>
      </c>
      <c r="AR35" s="153">
        <f ca="1">IF(S$33&gt;=$F35,$AD35-SUM($G35:S35),0)</f>
        <v>0</v>
      </c>
      <c r="AS35" s="153">
        <f ca="1">IF(T$33&gt;=$F35,$AD35-SUM($G35:T35),0)</f>
        <v>0</v>
      </c>
      <c r="AT35" s="153">
        <f ca="1">IF(U$33&gt;=$F35,$AD35-SUM($G35:U35),0)</f>
        <v>0</v>
      </c>
      <c r="AU35" s="153">
        <f ca="1">IF(V$33&gt;=$F35,$AD35-SUM($G35:V35),0)</f>
        <v>0</v>
      </c>
      <c r="AV35" s="153">
        <f ca="1">IF(W$33&gt;=$F35,$AD35-SUM($G35:W35),0)</f>
        <v>0</v>
      </c>
      <c r="AW35" s="153">
        <f ca="1">IF(X$33&gt;=$F35,$AD35-SUM($G35:X35),0)</f>
        <v>0</v>
      </c>
      <c r="AX35" s="153">
        <f ca="1">IF(Y$33&gt;=$F35,$AD35-SUM($G35:Y35),0)</f>
        <v>0</v>
      </c>
      <c r="AY35" s="153">
        <f ca="1">IF(Z$33&gt;=$F35,$AD35-SUM($G35:Z35),0)</f>
        <v>0</v>
      </c>
      <c r="AZ35" s="154">
        <f ca="1">IF(AA$33&gt;=$F35,$AD35-SUM($G35:AA35),0)</f>
        <v>0</v>
      </c>
    </row>
    <row r="36" spans="4:52" x14ac:dyDescent="0.3">
      <c r="D36" s="177">
        <f t="shared" ref="D36:D54" ca="1" si="3">D35+E36</f>
        <v>1115.0470333499527</v>
      </c>
      <c r="E36" s="170">
        <f ca="1">_xlfn.XLOOKUP(F36,$G$33:$AA$33,$G$55:$AA$55)</f>
        <v>115.04703334995268</v>
      </c>
      <c r="F36" s="157">
        <v>2100</v>
      </c>
      <c r="G36" s="152">
        <f t="shared" si="1"/>
        <v>0</v>
      </c>
      <c r="H36" s="153">
        <f t="shared" si="1"/>
        <v>0</v>
      </c>
      <c r="I36" s="153">
        <f t="shared" ca="1" si="1"/>
        <v>0</v>
      </c>
      <c r="J36" s="153">
        <f t="shared" ca="1" si="1"/>
        <v>0</v>
      </c>
      <c r="K36" s="153">
        <f t="shared" ca="1" si="1"/>
        <v>13.235819882625126</v>
      </c>
      <c r="L36" s="153">
        <f t="shared" ca="1" si="1"/>
        <v>29.664763854273865</v>
      </c>
      <c r="M36" s="153">
        <f t="shared" ca="1" si="1"/>
        <v>31.204646054182017</v>
      </c>
      <c r="N36" s="153">
        <f t="shared" ca="1" si="1"/>
        <v>22.331011906145619</v>
      </c>
      <c r="O36" s="153">
        <f t="shared" ca="1" si="1"/>
        <v>11.827626427249252</v>
      </c>
      <c r="P36" s="153">
        <f t="shared" ca="1" si="1"/>
        <v>4.7924440323409812</v>
      </c>
      <c r="Q36" s="153">
        <f t="shared" ca="1" si="2"/>
        <v>1.5101310216873405</v>
      </c>
      <c r="R36" s="153">
        <f t="shared" ca="1" si="2"/>
        <v>0.46018813339981074</v>
      </c>
      <c r="S36" s="153">
        <f t="shared" ca="1" si="2"/>
        <v>0</v>
      </c>
      <c r="T36" s="153">
        <f t="shared" ca="1" si="2"/>
        <v>0</v>
      </c>
      <c r="U36" s="153">
        <f t="shared" ca="1" si="2"/>
        <v>0</v>
      </c>
      <c r="V36" s="153">
        <f t="shared" ca="1" si="2"/>
        <v>0</v>
      </c>
      <c r="W36" s="153">
        <f t="shared" ca="1" si="2"/>
        <v>0</v>
      </c>
      <c r="X36" s="153">
        <f t="shared" ca="1" si="2"/>
        <v>0</v>
      </c>
      <c r="Y36" s="153">
        <f t="shared" ca="1" si="2"/>
        <v>0</v>
      </c>
      <c r="Z36" s="153">
        <f t="shared" ca="1" si="2"/>
        <v>0</v>
      </c>
      <c r="AA36" s="154">
        <f t="shared" ca="1" si="2"/>
        <v>0</v>
      </c>
      <c r="AD36" s="170">
        <f ca="1"/>
        <v>115.04703334995268</v>
      </c>
      <c r="AE36" s="157">
        <v>2100</v>
      </c>
      <c r="AF36" s="152">
        <f>IF(G$33&gt;=$F36,$AD36-SUM($G36:G36),0)</f>
        <v>0</v>
      </c>
      <c r="AG36" s="153">
        <f>IF(H$33&gt;=$F36,$AD36-SUM($G36:H36),0)</f>
        <v>0</v>
      </c>
      <c r="AH36" s="153">
        <f ca="1">IF(I$33&gt;=$F36,$AD36-SUM($G36:I36),0)</f>
        <v>115.04703334995268</v>
      </c>
      <c r="AI36" s="153">
        <f ca="1">IF(J$33&gt;=$F36,$AD36-SUM($G36:J36),0)</f>
        <v>115.04703334995268</v>
      </c>
      <c r="AJ36" s="153">
        <f ca="1">IF(K$33&gt;=$F36,$AD36-SUM($G36:K36),0)</f>
        <v>101.81121346732756</v>
      </c>
      <c r="AK36" s="153">
        <f ca="1">IF(L$33&gt;=$F36,$AD36-SUM($G36:L36),0)</f>
        <v>72.14644961305369</v>
      </c>
      <c r="AL36" s="153">
        <f ca="1">IF(M$33&gt;=$F36,$AD36-SUM($G36:M36),0)</f>
        <v>40.941803558871669</v>
      </c>
      <c r="AM36" s="153">
        <f ca="1">IF(N$33&gt;=$F36,$AD36-SUM($G36:N36),0)</f>
        <v>18.61079165272605</v>
      </c>
      <c r="AN36" s="153">
        <f ca="1">IF(O$33&gt;=$F36,$AD36-SUM($G36:O36),0)</f>
        <v>6.7831652254767931</v>
      </c>
      <c r="AO36" s="153">
        <f ca="1">IF(P$33&gt;=$F36,$AD36-SUM($G36:P36),0)</f>
        <v>1.990721193135812</v>
      </c>
      <c r="AP36" s="153">
        <f ca="1">IF(Q$33&gt;=$F36,$AD36-SUM($G36:Q36),0)</f>
        <v>0.48059017144846905</v>
      </c>
      <c r="AQ36" s="153">
        <f ca="1">IF(R$33&gt;=$F36,$AD36-SUM($G36:R36),0)</f>
        <v>2.0402038048658255E-2</v>
      </c>
      <c r="AR36" s="153">
        <f ca="1">IF(S$33&gt;=$F36,$AD36-SUM($G36:S36),0)</f>
        <v>2.0402038048658255E-2</v>
      </c>
      <c r="AS36" s="153">
        <f ca="1">IF(T$33&gt;=$F36,$AD36-SUM($G36:T36),0)</f>
        <v>2.0402038048658255E-2</v>
      </c>
      <c r="AT36" s="153">
        <f ca="1">IF(U$33&gt;=$F36,$AD36-SUM($G36:U36),0)</f>
        <v>2.0402038048658255E-2</v>
      </c>
      <c r="AU36" s="153">
        <f ca="1">IF(V$33&gt;=$F36,$AD36-SUM($G36:V36),0)</f>
        <v>2.0402038048658255E-2</v>
      </c>
      <c r="AV36" s="153">
        <f ca="1">IF(W$33&gt;=$F36,$AD36-SUM($G36:W36),0)</f>
        <v>2.0402038048658255E-2</v>
      </c>
      <c r="AW36" s="153">
        <f ca="1">IF(X$33&gt;=$F36,$AD36-SUM($G36:X36),0)</f>
        <v>2.0402038048658255E-2</v>
      </c>
      <c r="AX36" s="153">
        <f ca="1">IF(Y$33&gt;=$F36,$AD36-SUM($G36:Y36),0)</f>
        <v>2.0402038048658255E-2</v>
      </c>
      <c r="AY36" s="153">
        <f ca="1">IF(Z$33&gt;=$F36,$AD36-SUM($G36:Z36),0)</f>
        <v>2.0402038048658255E-2</v>
      </c>
      <c r="AZ36" s="154">
        <f ca="1">IF(AA$33&gt;=$F36,$AD36-SUM($G36:AA36),0)</f>
        <v>2.0402038048658255E-2</v>
      </c>
    </row>
    <row r="37" spans="4:52" x14ac:dyDescent="0.3">
      <c r="D37" s="177">
        <f t="shared" ca="1" si="3"/>
        <v>1372.8960451018586</v>
      </c>
      <c r="E37" s="170">
        <f t="shared" ref="E37:E54" ca="1" si="4">_xlfn.XLOOKUP(F37,$G$33:$AA$33,$G$55:$AA$55)</f>
        <v>257.84901175190595</v>
      </c>
      <c r="F37" s="157">
        <v>2110</v>
      </c>
      <c r="G37" s="152">
        <f t="shared" si="1"/>
        <v>0</v>
      </c>
      <c r="H37" s="153">
        <f t="shared" si="1"/>
        <v>0</v>
      </c>
      <c r="I37" s="153">
        <f t="shared" si="1"/>
        <v>0</v>
      </c>
      <c r="J37" s="153">
        <f t="shared" ca="1" si="1"/>
        <v>0</v>
      </c>
      <c r="K37" s="153">
        <f t="shared" ca="1" si="1"/>
        <v>0</v>
      </c>
      <c r="L37" s="153">
        <f t="shared" ca="1" si="1"/>
        <v>29.664763854273865</v>
      </c>
      <c r="M37" s="153">
        <f t="shared" ca="1" si="1"/>
        <v>66.486112861434535</v>
      </c>
      <c r="N37" s="153">
        <f t="shared" ca="1" si="1"/>
        <v>69.937371810919046</v>
      </c>
      <c r="O37" s="153">
        <f t="shared" ca="1" si="1"/>
        <v>50.049350980696637</v>
      </c>
      <c r="P37" s="153">
        <f t="shared" ca="1" si="1"/>
        <v>26.50865212977871</v>
      </c>
      <c r="Q37" s="153">
        <f t="shared" ca="1" si="2"/>
        <v>10.741058866390574</v>
      </c>
      <c r="R37" s="153">
        <f t="shared" ca="1" si="2"/>
        <v>3.3845791605380575</v>
      </c>
      <c r="S37" s="153">
        <f t="shared" ca="1" si="2"/>
        <v>1.0313960470076238</v>
      </c>
      <c r="T37" s="153">
        <f t="shared" ca="1" si="2"/>
        <v>0</v>
      </c>
      <c r="U37" s="153">
        <f t="shared" ca="1" si="2"/>
        <v>0</v>
      </c>
      <c r="V37" s="153">
        <f t="shared" ca="1" si="2"/>
        <v>0</v>
      </c>
      <c r="W37" s="153">
        <f t="shared" ca="1" si="2"/>
        <v>0</v>
      </c>
      <c r="X37" s="153">
        <f t="shared" ca="1" si="2"/>
        <v>0</v>
      </c>
      <c r="Y37" s="153">
        <f t="shared" ca="1" si="2"/>
        <v>0</v>
      </c>
      <c r="Z37" s="153">
        <f t="shared" ca="1" si="2"/>
        <v>0</v>
      </c>
      <c r="AA37" s="154">
        <f t="shared" ca="1" si="2"/>
        <v>0</v>
      </c>
      <c r="AD37" s="170">
        <f ca="1"/>
        <v>257.84901175190595</v>
      </c>
      <c r="AE37" s="157">
        <v>2110</v>
      </c>
      <c r="AF37" s="152">
        <f>IF(G$33&gt;=$F37,$AD37-SUM($G37:G37),0)</f>
        <v>0</v>
      </c>
      <c r="AG37" s="153">
        <f>IF(H$33&gt;=$F37,$AD37-SUM($G37:H37),0)</f>
        <v>0</v>
      </c>
      <c r="AH37" s="153">
        <f>IF(I$33&gt;=$F37,$AD37-SUM($G37:I37),0)</f>
        <v>0</v>
      </c>
      <c r="AI37" s="153">
        <f ca="1">IF(J$33&gt;=$F37,$AD37-SUM($G37:J37),0)</f>
        <v>257.84901175190595</v>
      </c>
      <c r="AJ37" s="153">
        <f ca="1">IF(K$33&gt;=$F37,$AD37-SUM($G37:K37),0)</f>
        <v>257.84901175190595</v>
      </c>
      <c r="AK37" s="153">
        <f ca="1">IF(L$33&gt;=$F37,$AD37-SUM($G37:L37),0)</f>
        <v>228.18424789763208</v>
      </c>
      <c r="AL37" s="153">
        <f ca="1">IF(M$33&gt;=$F37,$AD37-SUM($G37:M37),0)</f>
        <v>161.69813503619756</v>
      </c>
      <c r="AM37" s="153">
        <f ca="1">IF(N$33&gt;=$F37,$AD37-SUM($G37:N37),0)</f>
        <v>91.760763225278509</v>
      </c>
      <c r="AN37" s="153">
        <f ca="1">IF(O$33&gt;=$F37,$AD37-SUM($G37:O37),0)</f>
        <v>41.711412244581879</v>
      </c>
      <c r="AO37" s="153">
        <f ca="1">IF(P$33&gt;=$F37,$AD37-SUM($G37:P37),0)</f>
        <v>15.202760114803169</v>
      </c>
      <c r="AP37" s="153">
        <f ca="1">IF(Q$33&gt;=$F37,$AD37-SUM($G37:Q37),0)</f>
        <v>4.4617012484125951</v>
      </c>
      <c r="AQ37" s="153">
        <f ca="1">IF(R$33&gt;=$F37,$AD37-SUM($G37:R37),0)</f>
        <v>1.0771220878745567</v>
      </c>
      <c r="AR37" s="153">
        <f ca="1">IF(S$33&gt;=$F37,$AD37-SUM($G37:S37),0)</f>
        <v>4.5726040866952644E-2</v>
      </c>
      <c r="AS37" s="153">
        <f ca="1">IF(T$33&gt;=$F37,$AD37-SUM($G37:T37),0)</f>
        <v>4.5726040866952644E-2</v>
      </c>
      <c r="AT37" s="153">
        <f ca="1">IF(U$33&gt;=$F37,$AD37-SUM($G37:U37),0)</f>
        <v>4.5726040866952644E-2</v>
      </c>
      <c r="AU37" s="153">
        <f ca="1">IF(V$33&gt;=$F37,$AD37-SUM($G37:V37),0)</f>
        <v>4.5726040866952644E-2</v>
      </c>
      <c r="AV37" s="153">
        <f ca="1">IF(W$33&gt;=$F37,$AD37-SUM($G37:W37),0)</f>
        <v>4.5726040866952644E-2</v>
      </c>
      <c r="AW37" s="153">
        <f ca="1">IF(X$33&gt;=$F37,$AD37-SUM($G37:X37),0)</f>
        <v>4.5726040866952644E-2</v>
      </c>
      <c r="AX37" s="153">
        <f ca="1">IF(Y$33&gt;=$F37,$AD37-SUM($G37:Y37),0)</f>
        <v>4.5726040866952644E-2</v>
      </c>
      <c r="AY37" s="153">
        <f ca="1">IF(Z$33&gt;=$F37,$AD37-SUM($G37:Z37),0)</f>
        <v>4.5726040866952644E-2</v>
      </c>
      <c r="AZ37" s="154">
        <f ca="1">IF(AA$33&gt;=$F37,$AD37-SUM($G37:AA37),0)</f>
        <v>4.5726040866952644E-2</v>
      </c>
    </row>
    <row r="38" spans="4:52" x14ac:dyDescent="0.3">
      <c r="D38" s="177">
        <f t="shared" ca="1" si="3"/>
        <v>1657.3656825420649</v>
      </c>
      <c r="E38" s="170">
        <f t="shared" ca="1" si="4"/>
        <v>284.46963744020627</v>
      </c>
      <c r="F38" s="157">
        <v>2120</v>
      </c>
      <c r="G38" s="152">
        <f t="shared" si="1"/>
        <v>0</v>
      </c>
      <c r="H38" s="153">
        <f t="shared" si="1"/>
        <v>0</v>
      </c>
      <c r="I38" s="153">
        <f t="shared" si="1"/>
        <v>0</v>
      </c>
      <c r="J38" s="153">
        <f t="shared" si="1"/>
        <v>0</v>
      </c>
      <c r="K38" s="153">
        <f t="shared" ca="1" si="1"/>
        <v>0</v>
      </c>
      <c r="L38" s="153">
        <f t="shared" ca="1" si="1"/>
        <v>0</v>
      </c>
      <c r="M38" s="153">
        <f t="shared" ca="1" si="1"/>
        <v>32.727387865632359</v>
      </c>
      <c r="N38" s="153">
        <f t="shared" ca="1" si="1"/>
        <v>73.350214887380176</v>
      </c>
      <c r="O38" s="153">
        <f t="shared" ca="1" si="1"/>
        <v>77.157785742128155</v>
      </c>
      <c r="P38" s="153">
        <f t="shared" ca="1" si="1"/>
        <v>55.216502987008887</v>
      </c>
      <c r="Q38" s="153">
        <f t="shared" ca="1" si="2"/>
        <v>29.245435571582952</v>
      </c>
      <c r="R38" s="153">
        <f t="shared" ca="1" si="2"/>
        <v>11.849978018864576</v>
      </c>
      <c r="S38" s="153">
        <f t="shared" ca="1" si="2"/>
        <v>3.734006968435946</v>
      </c>
      <c r="T38" s="153">
        <f t="shared" ca="1" si="2"/>
        <v>1.137878549760825</v>
      </c>
      <c r="U38" s="153">
        <f t="shared" ca="1" si="2"/>
        <v>0</v>
      </c>
      <c r="V38" s="153">
        <f t="shared" ca="1" si="2"/>
        <v>0</v>
      </c>
      <c r="W38" s="153">
        <f t="shared" ca="1" si="2"/>
        <v>0</v>
      </c>
      <c r="X38" s="153">
        <f t="shared" ca="1" si="2"/>
        <v>0</v>
      </c>
      <c r="Y38" s="153">
        <f t="shared" ca="1" si="2"/>
        <v>0</v>
      </c>
      <c r="Z38" s="153">
        <f t="shared" ca="1" si="2"/>
        <v>0</v>
      </c>
      <c r="AA38" s="154">
        <f t="shared" ca="1" si="2"/>
        <v>0</v>
      </c>
      <c r="AD38" s="170">
        <f ca="1"/>
        <v>284.46963744020627</v>
      </c>
      <c r="AE38" s="157">
        <v>2120</v>
      </c>
      <c r="AF38" s="152">
        <f>IF(G$33&gt;=$F38,$AD38-SUM($G38:G38),0)</f>
        <v>0</v>
      </c>
      <c r="AG38" s="153">
        <f>IF(H$33&gt;=$F38,$AD38-SUM($G38:H38),0)</f>
        <v>0</v>
      </c>
      <c r="AH38" s="153">
        <f>IF(I$33&gt;=$F38,$AD38-SUM($G38:I38),0)</f>
        <v>0</v>
      </c>
      <c r="AI38" s="153">
        <f>IF(J$33&gt;=$F38,$AD38-SUM($G38:J38),0)</f>
        <v>0</v>
      </c>
      <c r="AJ38" s="153">
        <f ca="1">IF(K$33&gt;=$F38,$AD38-SUM($G38:K38),0)</f>
        <v>284.46963744020627</v>
      </c>
      <c r="AK38" s="153">
        <f ca="1">IF(L$33&gt;=$F38,$AD38-SUM($G38:L38),0)</f>
        <v>284.46963744020627</v>
      </c>
      <c r="AL38" s="153">
        <f ca="1">IF(M$33&gt;=$F38,$AD38-SUM($G38:M38),0)</f>
        <v>251.74224957457392</v>
      </c>
      <c r="AM38" s="153">
        <f ca="1">IF(N$33&gt;=$F38,$AD38-SUM($G38:N38),0)</f>
        <v>178.39203468719373</v>
      </c>
      <c r="AN38" s="153">
        <f ca="1">IF(O$33&gt;=$F38,$AD38-SUM($G38:O38),0)</f>
        <v>101.23424894506559</v>
      </c>
      <c r="AO38" s="153">
        <f ca="1">IF(P$33&gt;=$F38,$AD38-SUM($G38:P38),0)</f>
        <v>46.017745958056707</v>
      </c>
      <c r="AP38" s="153">
        <f ca="1">IF(Q$33&gt;=$F38,$AD38-SUM($G38:Q38),0)</f>
        <v>16.772310386473748</v>
      </c>
      <c r="AQ38" s="153">
        <f ca="1">IF(R$33&gt;=$F38,$AD38-SUM($G38:R38),0)</f>
        <v>4.9223323676091582</v>
      </c>
      <c r="AR38" s="153">
        <f ca="1">IF(S$33&gt;=$F38,$AD38-SUM($G38:S38),0)</f>
        <v>1.188325399173209</v>
      </c>
      <c r="AS38" s="153">
        <f ca="1">IF(T$33&gt;=$F38,$AD38-SUM($G38:T38),0)</f>
        <v>5.0446849412367101E-2</v>
      </c>
      <c r="AT38" s="153">
        <f ca="1">IF(U$33&gt;=$F38,$AD38-SUM($G38:U38),0)</f>
        <v>5.0446849412367101E-2</v>
      </c>
      <c r="AU38" s="153">
        <f ca="1">IF(V$33&gt;=$F38,$AD38-SUM($G38:V38),0)</f>
        <v>5.0446849412367101E-2</v>
      </c>
      <c r="AV38" s="153">
        <f ca="1">IF(W$33&gt;=$F38,$AD38-SUM($G38:W38),0)</f>
        <v>5.0446849412367101E-2</v>
      </c>
      <c r="AW38" s="153">
        <f ca="1">IF(X$33&gt;=$F38,$AD38-SUM($G38:X38),0)</f>
        <v>5.0446849412367101E-2</v>
      </c>
      <c r="AX38" s="153">
        <f ca="1">IF(Y$33&gt;=$F38,$AD38-SUM($G38:Y38),0)</f>
        <v>5.0446849412367101E-2</v>
      </c>
      <c r="AY38" s="153">
        <f ca="1">IF(Z$33&gt;=$F38,$AD38-SUM($G38:Z38),0)</f>
        <v>5.0446849412367101E-2</v>
      </c>
      <c r="AZ38" s="154">
        <f ca="1">IF(AA$33&gt;=$F38,$AD38-SUM($G38:AA38),0)</f>
        <v>5.0446849412367101E-2</v>
      </c>
    </row>
    <row r="39" spans="4:52" x14ac:dyDescent="0.3">
      <c r="D39" s="177">
        <f t="shared" ca="1" si="3"/>
        <v>1910.798537002365</v>
      </c>
      <c r="E39" s="170">
        <f t="shared" ca="1" si="4"/>
        <v>253.43285446030012</v>
      </c>
      <c r="F39" s="157">
        <v>2130</v>
      </c>
      <c r="G39" s="152">
        <f t="shared" si="1"/>
        <v>0</v>
      </c>
      <c r="H39" s="153">
        <f t="shared" si="1"/>
        <v>0</v>
      </c>
      <c r="I39" s="153">
        <f t="shared" si="1"/>
        <v>0</v>
      </c>
      <c r="J39" s="153">
        <f t="shared" si="1"/>
        <v>0</v>
      </c>
      <c r="K39" s="153">
        <f t="shared" si="1"/>
        <v>0</v>
      </c>
      <c r="L39" s="153">
        <f t="shared" ca="1" si="1"/>
        <v>0</v>
      </c>
      <c r="M39" s="153">
        <f t="shared" ca="1" si="1"/>
        <v>0</v>
      </c>
      <c r="N39" s="153">
        <f t="shared" ca="1" si="1"/>
        <v>29.156698059067853</v>
      </c>
      <c r="O39" s="153">
        <f t="shared" ca="1" si="1"/>
        <v>65.347411068052992</v>
      </c>
      <c r="P39" s="153">
        <f t="shared" ca="1" si="1"/>
        <v>68.73956060978206</v>
      </c>
      <c r="Q39" s="153">
        <f t="shared" ca="1" si="2"/>
        <v>49.192160158936936</v>
      </c>
      <c r="R39" s="153">
        <f t="shared" ca="1" si="2"/>
        <v>26.054640781826745</v>
      </c>
      <c r="S39" s="153">
        <f t="shared" ca="1" si="2"/>
        <v>10.557097698146819</v>
      </c>
      <c r="T39" s="153">
        <f t="shared" ca="1" si="2"/>
        <v>3.3266117716492118</v>
      </c>
      <c r="U39" s="153">
        <f t="shared" ca="1" si="2"/>
        <v>1.0137314178412005</v>
      </c>
      <c r="V39" s="153">
        <f t="shared" ca="1" si="2"/>
        <v>0</v>
      </c>
      <c r="W39" s="153">
        <f t="shared" ca="1" si="2"/>
        <v>0</v>
      </c>
      <c r="X39" s="153">
        <f t="shared" ca="1" si="2"/>
        <v>0</v>
      </c>
      <c r="Y39" s="153">
        <f t="shared" ca="1" si="2"/>
        <v>0</v>
      </c>
      <c r="Z39" s="153">
        <f t="shared" ca="1" si="2"/>
        <v>0</v>
      </c>
      <c r="AA39" s="154">
        <f t="shared" ca="1" si="2"/>
        <v>0</v>
      </c>
      <c r="AD39" s="170">
        <f ca="1"/>
        <v>253.43285446030012</v>
      </c>
      <c r="AE39" s="157">
        <v>2130</v>
      </c>
      <c r="AF39" s="152">
        <f>IF(G$33&gt;=$F39,$AD39-SUM($G39:G39),0)</f>
        <v>0</v>
      </c>
      <c r="AG39" s="153">
        <f>IF(H$33&gt;=$F39,$AD39-SUM($G39:H39),0)</f>
        <v>0</v>
      </c>
      <c r="AH39" s="153">
        <f>IF(I$33&gt;=$F39,$AD39-SUM($G39:I39),0)</f>
        <v>0</v>
      </c>
      <c r="AI39" s="153">
        <f>IF(J$33&gt;=$F39,$AD39-SUM($G39:J39),0)</f>
        <v>0</v>
      </c>
      <c r="AJ39" s="153">
        <f>IF(K$33&gt;=$F39,$AD39-SUM($G39:K39),0)</f>
        <v>0</v>
      </c>
      <c r="AK39" s="153">
        <f ca="1">IF(L$33&gt;=$F39,$AD39-SUM($G39:L39),0)</f>
        <v>253.43285446030012</v>
      </c>
      <c r="AL39" s="153">
        <f ca="1">IF(M$33&gt;=$F39,$AD39-SUM($G39:M39),0)</f>
        <v>253.43285446030012</v>
      </c>
      <c r="AM39" s="153">
        <f ca="1">IF(N$33&gt;=$F39,$AD39-SUM($G39:N39),0)</f>
        <v>224.27615640123227</v>
      </c>
      <c r="AN39" s="153">
        <f ca="1">IF(O$33&gt;=$F39,$AD39-SUM($G39:O39),0)</f>
        <v>158.92874533317928</v>
      </c>
      <c r="AO39" s="153">
        <f ca="1">IF(P$33&gt;=$F39,$AD39-SUM($G39:P39),0)</f>
        <v>90.189184723397204</v>
      </c>
      <c r="AP39" s="153">
        <f ca="1">IF(Q$33&gt;=$F39,$AD39-SUM($G39:Q39),0)</f>
        <v>40.997024564460276</v>
      </c>
      <c r="AQ39" s="153">
        <f ca="1">IF(R$33&gt;=$F39,$AD39-SUM($G39:R39),0)</f>
        <v>14.942383782633527</v>
      </c>
      <c r="AR39" s="153">
        <f ca="1">IF(S$33&gt;=$F39,$AD39-SUM($G39:S39),0)</f>
        <v>4.3852860844867223</v>
      </c>
      <c r="AS39" s="153">
        <f ca="1">IF(T$33&gt;=$F39,$AD39-SUM($G39:T39),0)</f>
        <v>1.0586743128375247</v>
      </c>
      <c r="AT39" s="153">
        <f ca="1">IF(U$33&gt;=$F39,$AD39-SUM($G39:U39),0)</f>
        <v>4.4942894996324867E-2</v>
      </c>
      <c r="AU39" s="153">
        <f ca="1">IF(V$33&gt;=$F39,$AD39-SUM($G39:V39),0)</f>
        <v>4.4942894996324867E-2</v>
      </c>
      <c r="AV39" s="153">
        <f ca="1">IF(W$33&gt;=$F39,$AD39-SUM($G39:W39),0)</f>
        <v>4.4942894996324867E-2</v>
      </c>
      <c r="AW39" s="153">
        <f ca="1">IF(X$33&gt;=$F39,$AD39-SUM($G39:X39),0)</f>
        <v>4.4942894996324867E-2</v>
      </c>
      <c r="AX39" s="153">
        <f ca="1">IF(Y$33&gt;=$F39,$AD39-SUM($G39:Y39),0)</f>
        <v>4.4942894996324867E-2</v>
      </c>
      <c r="AY39" s="153">
        <f ca="1">IF(Z$33&gt;=$F39,$AD39-SUM($G39:Z39),0)</f>
        <v>4.4942894996324867E-2</v>
      </c>
      <c r="AZ39" s="154">
        <f ca="1">IF(AA$33&gt;=$F39,$AD39-SUM($G39:AA39),0)</f>
        <v>4.4942894996324867E-2</v>
      </c>
    </row>
    <row r="40" spans="4:52" x14ac:dyDescent="0.3">
      <c r="D40" s="177">
        <f t="shared" ca="1" si="3"/>
        <v>2144.0235626995764</v>
      </c>
      <c r="E40" s="170">
        <f t="shared" ca="1" si="4"/>
        <v>233.22502569721109</v>
      </c>
      <c r="F40" s="157">
        <v>2140</v>
      </c>
      <c r="G40" s="152">
        <f t="shared" si="1"/>
        <v>0</v>
      </c>
      <c r="H40" s="153">
        <f t="shared" si="1"/>
        <v>0</v>
      </c>
      <c r="I40" s="153">
        <f t="shared" si="1"/>
        <v>0</v>
      </c>
      <c r="J40" s="153">
        <f t="shared" si="1"/>
        <v>0</v>
      </c>
      <c r="K40" s="153">
        <f t="shared" si="1"/>
        <v>0</v>
      </c>
      <c r="L40" s="153">
        <f t="shared" si="1"/>
        <v>0</v>
      </c>
      <c r="M40" s="153">
        <f t="shared" ca="1" si="1"/>
        <v>0</v>
      </c>
      <c r="N40" s="153">
        <f t="shared" ca="1" si="1"/>
        <v>0</v>
      </c>
      <c r="O40" s="153">
        <f t="shared" ca="1" si="1"/>
        <v>26.831847309430618</v>
      </c>
      <c r="P40" s="153">
        <f t="shared" ca="1" si="1"/>
        <v>60.136842391838748</v>
      </c>
      <c r="Q40" s="153">
        <f t="shared" ca="1" si="2"/>
        <v>63.258514069819526</v>
      </c>
      <c r="R40" s="153">
        <f t="shared" ca="1" si="2"/>
        <v>45.269753369591612</v>
      </c>
      <c r="S40" s="153">
        <f t="shared" ca="1" si="2"/>
        <v>23.977136977025353</v>
      </c>
      <c r="T40" s="153">
        <f t="shared" ca="1" si="2"/>
        <v>9.7153125121903123</v>
      </c>
      <c r="U40" s="153">
        <f t="shared" ca="1" si="2"/>
        <v>3.0613596551234363</v>
      </c>
      <c r="V40" s="153">
        <f t="shared" ca="1" si="2"/>
        <v>0.93290010278884439</v>
      </c>
      <c r="W40" s="153">
        <f t="shared" ca="1" si="2"/>
        <v>0</v>
      </c>
      <c r="X40" s="153">
        <f t="shared" ca="1" si="2"/>
        <v>0</v>
      </c>
      <c r="Y40" s="153">
        <f t="shared" ca="1" si="2"/>
        <v>0</v>
      </c>
      <c r="Z40" s="153">
        <f t="shared" ca="1" si="2"/>
        <v>0</v>
      </c>
      <c r="AA40" s="154">
        <f t="shared" ca="1" si="2"/>
        <v>0</v>
      </c>
      <c r="AD40" s="170">
        <f ca="1"/>
        <v>233.22502569721109</v>
      </c>
      <c r="AE40" s="157">
        <v>2140</v>
      </c>
      <c r="AF40" s="152">
        <f>IF(G$33&gt;=$F40,$AD40-SUM($G40:G40),0)</f>
        <v>0</v>
      </c>
      <c r="AG40" s="153">
        <f>IF(H$33&gt;=$F40,$AD40-SUM($G40:H40),0)</f>
        <v>0</v>
      </c>
      <c r="AH40" s="153">
        <f>IF(I$33&gt;=$F40,$AD40-SUM($G40:I40),0)</f>
        <v>0</v>
      </c>
      <c r="AI40" s="153">
        <f>IF(J$33&gt;=$F40,$AD40-SUM($G40:J40),0)</f>
        <v>0</v>
      </c>
      <c r="AJ40" s="153">
        <f>IF(K$33&gt;=$F40,$AD40-SUM($G40:K40),0)</f>
        <v>0</v>
      </c>
      <c r="AK40" s="153">
        <f>IF(L$33&gt;=$F40,$AD40-SUM($G40:L40),0)</f>
        <v>0</v>
      </c>
      <c r="AL40" s="153">
        <f ca="1">IF(M$33&gt;=$F40,$AD40-SUM($G40:M40),0)</f>
        <v>233.22502569721109</v>
      </c>
      <c r="AM40" s="153">
        <f ca="1">IF(N$33&gt;=$F40,$AD40-SUM($G40:N40),0)</f>
        <v>233.22502569721109</v>
      </c>
      <c r="AN40" s="153">
        <f ca="1">IF(O$33&gt;=$F40,$AD40-SUM($G40:O40),0)</f>
        <v>206.39317838778047</v>
      </c>
      <c r="AO40" s="153">
        <f ca="1">IF(P$33&gt;=$F40,$AD40-SUM($G40:P40),0)</f>
        <v>146.25633599594173</v>
      </c>
      <c r="AP40" s="153">
        <f ca="1">IF(Q$33&gt;=$F40,$AD40-SUM($G40:Q40),0)</f>
        <v>82.997821926122185</v>
      </c>
      <c r="AQ40" s="153">
        <f ca="1">IF(R$33&gt;=$F40,$AD40-SUM($G40:R40),0)</f>
        <v>37.728068556530559</v>
      </c>
      <c r="AR40" s="153">
        <f ca="1">IF(S$33&gt;=$F40,$AD40-SUM($G40:S40),0)</f>
        <v>13.75093157950522</v>
      </c>
      <c r="AS40" s="153">
        <f ca="1">IF(T$33&gt;=$F40,$AD40-SUM($G40:T40),0)</f>
        <v>4.0356190673149115</v>
      </c>
      <c r="AT40" s="153">
        <f ca="1">IF(U$33&gt;=$F40,$AD40-SUM($G40:U40),0)</f>
        <v>0.97425941219148626</v>
      </c>
      <c r="AU40" s="153">
        <f ca="1">IF(V$33&gt;=$F40,$AD40-SUM($G40:V40),0)</f>
        <v>4.1359309402650979E-2</v>
      </c>
      <c r="AV40" s="153">
        <f ca="1">IF(W$33&gt;=$F40,$AD40-SUM($G40:W40),0)</f>
        <v>4.1359309402650979E-2</v>
      </c>
      <c r="AW40" s="153">
        <f ca="1">IF(X$33&gt;=$F40,$AD40-SUM($G40:X40),0)</f>
        <v>4.1359309402650979E-2</v>
      </c>
      <c r="AX40" s="153">
        <f ca="1">IF(Y$33&gt;=$F40,$AD40-SUM($G40:Y40),0)</f>
        <v>4.1359309402650979E-2</v>
      </c>
      <c r="AY40" s="153">
        <f ca="1">IF(Z$33&gt;=$F40,$AD40-SUM($G40:Z40),0)</f>
        <v>4.1359309402650979E-2</v>
      </c>
      <c r="AZ40" s="154">
        <f ca="1">IF(AA$33&gt;=$F40,$AD40-SUM($G40:AA40),0)</f>
        <v>4.1359309402650979E-2</v>
      </c>
    </row>
    <row r="41" spans="4:52" x14ac:dyDescent="0.3">
      <c r="D41" s="177">
        <f t="shared" ca="1" si="3"/>
        <v>2380.4552488656609</v>
      </c>
      <c r="E41" s="170">
        <f t="shared" ca="1" si="4"/>
        <v>236.43168616608435</v>
      </c>
      <c r="F41" s="157">
        <v>2150</v>
      </c>
      <c r="G41" s="152">
        <f t="shared" si="1"/>
        <v>0</v>
      </c>
      <c r="H41" s="153">
        <f t="shared" si="1"/>
        <v>0</v>
      </c>
      <c r="I41" s="153">
        <f t="shared" si="1"/>
        <v>0</v>
      </c>
      <c r="J41" s="153">
        <f t="shared" si="1"/>
        <v>0</v>
      </c>
      <c r="K41" s="153">
        <f t="shared" si="1"/>
        <v>0</v>
      </c>
      <c r="L41" s="153">
        <f t="shared" si="1"/>
        <v>0</v>
      </c>
      <c r="M41" s="153">
        <f t="shared" si="1"/>
        <v>0</v>
      </c>
      <c r="N41" s="153">
        <f t="shared" ca="1" si="1"/>
        <v>0</v>
      </c>
      <c r="O41" s="153">
        <f t="shared" ca="1" si="1"/>
        <v>0</v>
      </c>
      <c r="P41" s="153">
        <f t="shared" ca="1" si="1"/>
        <v>27.200764083335052</v>
      </c>
      <c r="Q41" s="153">
        <f t="shared" ca="1" si="2"/>
        <v>60.963676624761618</v>
      </c>
      <c r="R41" s="153">
        <f t="shared" ca="1" si="2"/>
        <v>64.128268830403002</v>
      </c>
      <c r="S41" s="153">
        <f t="shared" ca="1" si="2"/>
        <v>45.892176834363241</v>
      </c>
      <c r="T41" s="153">
        <f t="shared" ca="1" si="2"/>
        <v>24.30680373157341</v>
      </c>
      <c r="U41" s="153">
        <f t="shared" ca="1" si="2"/>
        <v>9.8488904096841949</v>
      </c>
      <c r="V41" s="153">
        <f t="shared" ca="1" si="2"/>
        <v>3.1034509399576486</v>
      </c>
      <c r="W41" s="153">
        <f t="shared" ca="1" si="2"/>
        <v>0.94572674466433737</v>
      </c>
      <c r="X41" s="153">
        <f t="shared" ca="1" si="2"/>
        <v>0</v>
      </c>
      <c r="Y41" s="153">
        <f t="shared" ca="1" si="2"/>
        <v>0</v>
      </c>
      <c r="Z41" s="153">
        <f t="shared" ca="1" si="2"/>
        <v>0</v>
      </c>
      <c r="AA41" s="154">
        <f t="shared" ca="1" si="2"/>
        <v>0</v>
      </c>
      <c r="AD41" s="170">
        <f ca="1"/>
        <v>236.43168616608435</v>
      </c>
      <c r="AE41" s="157">
        <v>2150</v>
      </c>
      <c r="AF41" s="152">
        <f>IF(G$33&gt;=$F41,$AD41-SUM($G41:G41),0)</f>
        <v>0</v>
      </c>
      <c r="AG41" s="153">
        <f>IF(H$33&gt;=$F41,$AD41-SUM($G41:H41),0)</f>
        <v>0</v>
      </c>
      <c r="AH41" s="153">
        <f>IF(I$33&gt;=$F41,$AD41-SUM($G41:I41),0)</f>
        <v>0</v>
      </c>
      <c r="AI41" s="153">
        <f>IF(J$33&gt;=$F41,$AD41-SUM($G41:J41),0)</f>
        <v>0</v>
      </c>
      <c r="AJ41" s="153">
        <f>IF(K$33&gt;=$F41,$AD41-SUM($G41:K41),0)</f>
        <v>0</v>
      </c>
      <c r="AK41" s="153">
        <f>IF(L$33&gt;=$F41,$AD41-SUM($G41:L41),0)</f>
        <v>0</v>
      </c>
      <c r="AL41" s="153">
        <f>IF(M$33&gt;=$F41,$AD41-SUM($G41:M41),0)</f>
        <v>0</v>
      </c>
      <c r="AM41" s="153">
        <f ca="1">IF(N$33&gt;=$F41,$AD41-SUM($G41:N41),0)</f>
        <v>236.43168616608435</v>
      </c>
      <c r="AN41" s="153">
        <f ca="1">IF(O$33&gt;=$F41,$AD41-SUM($G41:O41),0)</f>
        <v>236.43168616608435</v>
      </c>
      <c r="AO41" s="153">
        <f ca="1">IF(P$33&gt;=$F41,$AD41-SUM($G41:P41),0)</f>
        <v>209.23092208274929</v>
      </c>
      <c r="AP41" s="153">
        <f ca="1">IF(Q$33&gt;=$F41,$AD41-SUM($G41:Q41),0)</f>
        <v>148.26724545798768</v>
      </c>
      <c r="AQ41" s="153">
        <f ca="1">IF(R$33&gt;=$F41,$AD41-SUM($G41:R41),0)</f>
        <v>84.138976627584697</v>
      </c>
      <c r="AR41" s="153">
        <f ca="1">IF(S$33&gt;=$F41,$AD41-SUM($G41:S41),0)</f>
        <v>38.24679979322147</v>
      </c>
      <c r="AS41" s="153">
        <f ca="1">IF(T$33&gt;=$F41,$AD41-SUM($G41:T41),0)</f>
        <v>13.93999606164806</v>
      </c>
      <c r="AT41" s="153">
        <f ca="1">IF(U$33&gt;=$F41,$AD41-SUM($G41:U41),0)</f>
        <v>4.0911056519638578</v>
      </c>
      <c r="AU41" s="153">
        <f ca="1">IF(V$33&gt;=$F41,$AD41-SUM($G41:V41),0)</f>
        <v>0.98765471200621846</v>
      </c>
      <c r="AV41" s="153">
        <f ca="1">IF(W$33&gt;=$F41,$AD41-SUM($G41:W41),0)</f>
        <v>4.1927967341877093E-2</v>
      </c>
      <c r="AW41" s="153">
        <f ca="1">IF(X$33&gt;=$F41,$AD41-SUM($G41:X41),0)</f>
        <v>4.1927967341877093E-2</v>
      </c>
      <c r="AX41" s="153">
        <f ca="1">IF(Y$33&gt;=$F41,$AD41-SUM($G41:Y41),0)</f>
        <v>4.1927967341877093E-2</v>
      </c>
      <c r="AY41" s="153">
        <f ca="1">IF(Z$33&gt;=$F41,$AD41-SUM($G41:Z41),0)</f>
        <v>4.1927967341877093E-2</v>
      </c>
      <c r="AZ41" s="154">
        <f ca="1">IF(AA$33&gt;=$F41,$AD41-SUM($G41:AA41),0)</f>
        <v>4.1927967341877093E-2</v>
      </c>
    </row>
    <row r="42" spans="4:52" x14ac:dyDescent="0.3">
      <c r="D42" s="177">
        <f t="shared" ca="1" si="3"/>
        <v>2624.7954760650659</v>
      </c>
      <c r="E42" s="170">
        <f t="shared" ca="1" si="4"/>
        <v>244.34022719940486</v>
      </c>
      <c r="F42" s="157">
        <v>2160</v>
      </c>
      <c r="G42" s="152">
        <f t="shared" si="1"/>
        <v>0</v>
      </c>
      <c r="H42" s="153">
        <f t="shared" si="1"/>
        <v>0</v>
      </c>
      <c r="I42" s="153">
        <f t="shared" si="1"/>
        <v>0</v>
      </c>
      <c r="J42" s="153">
        <f t="shared" si="1"/>
        <v>0</v>
      </c>
      <c r="K42" s="153">
        <f t="shared" si="1"/>
        <v>0</v>
      </c>
      <c r="L42" s="153">
        <f t="shared" si="1"/>
        <v>0</v>
      </c>
      <c r="M42" s="153">
        <f t="shared" si="1"/>
        <v>0</v>
      </c>
      <c r="N42" s="153">
        <f t="shared" si="1"/>
        <v>0</v>
      </c>
      <c r="O42" s="153">
        <f t="shared" ca="1" si="1"/>
        <v>0</v>
      </c>
      <c r="P42" s="153">
        <f t="shared" ca="1" si="1"/>
        <v>0</v>
      </c>
      <c r="Q42" s="153">
        <f t="shared" ca="1" si="2"/>
        <v>28.110618267344947</v>
      </c>
      <c r="R42" s="153">
        <f t="shared" ca="1" si="2"/>
        <v>63.00288611460271</v>
      </c>
      <c r="S42" s="153">
        <f t="shared" ca="1" si="2"/>
        <v>66.273332606181299</v>
      </c>
      <c r="T42" s="153">
        <f t="shared" ca="1" si="2"/>
        <v>47.427250958683494</v>
      </c>
      <c r="U42" s="153">
        <f t="shared" ca="1" si="2"/>
        <v>25.119856151987911</v>
      </c>
      <c r="V42" s="153">
        <f t="shared" ca="1" si="2"/>
        <v>10.178331675365264</v>
      </c>
      <c r="W42" s="153">
        <f t="shared" ca="1" si="2"/>
        <v>3.2072600761252565</v>
      </c>
      <c r="X42" s="153">
        <f t="shared" ca="1" si="2"/>
        <v>0.9773609087976195</v>
      </c>
      <c r="Y42" s="153">
        <f t="shared" ca="1" si="2"/>
        <v>0</v>
      </c>
      <c r="Z42" s="153">
        <f t="shared" ca="1" si="2"/>
        <v>0</v>
      </c>
      <c r="AA42" s="154">
        <f t="shared" ca="1" si="2"/>
        <v>0</v>
      </c>
      <c r="AD42" s="170">
        <f ca="1"/>
        <v>244.34022719940486</v>
      </c>
      <c r="AE42" s="157">
        <v>2160</v>
      </c>
      <c r="AF42" s="152">
        <f>IF(G$33&gt;=$F42,$AD42-SUM($G42:G42),0)</f>
        <v>0</v>
      </c>
      <c r="AG42" s="153">
        <f>IF(H$33&gt;=$F42,$AD42-SUM($G42:H42),0)</f>
        <v>0</v>
      </c>
      <c r="AH42" s="153">
        <f>IF(I$33&gt;=$F42,$AD42-SUM($G42:I42),0)</f>
        <v>0</v>
      </c>
      <c r="AI42" s="153">
        <f>IF(J$33&gt;=$F42,$AD42-SUM($G42:J42),0)</f>
        <v>0</v>
      </c>
      <c r="AJ42" s="153">
        <f>IF(K$33&gt;=$F42,$AD42-SUM($G42:K42),0)</f>
        <v>0</v>
      </c>
      <c r="AK42" s="153">
        <f>IF(L$33&gt;=$F42,$AD42-SUM($G42:L42),0)</f>
        <v>0</v>
      </c>
      <c r="AL42" s="153">
        <f>IF(M$33&gt;=$F42,$AD42-SUM($G42:M42),0)</f>
        <v>0</v>
      </c>
      <c r="AM42" s="153">
        <f>IF(N$33&gt;=$F42,$AD42-SUM($G42:N42),0)</f>
        <v>0</v>
      </c>
      <c r="AN42" s="153">
        <f ca="1">IF(O$33&gt;=$F42,$AD42-SUM($G42:O42),0)</f>
        <v>244.34022719940486</v>
      </c>
      <c r="AO42" s="153">
        <f ca="1">IF(P$33&gt;=$F42,$AD42-SUM($G42:P42),0)</f>
        <v>244.34022719940486</v>
      </c>
      <c r="AP42" s="153">
        <f ca="1">IF(Q$33&gt;=$F42,$AD42-SUM($G42:Q42),0)</f>
        <v>216.22960893205993</v>
      </c>
      <c r="AQ42" s="153">
        <f ca="1">IF(R$33&gt;=$F42,$AD42-SUM($G42:R42),0)</f>
        <v>153.22672281745722</v>
      </c>
      <c r="AR42" s="153">
        <f ca="1">IF(S$33&gt;=$F42,$AD42-SUM($G42:S42),0)</f>
        <v>86.953390211275916</v>
      </c>
      <c r="AS42" s="153">
        <f ca="1">IF(T$33&gt;=$F42,$AD42-SUM($G42:T42),0)</f>
        <v>39.526139252592429</v>
      </c>
      <c r="AT42" s="153">
        <f ca="1">IF(U$33&gt;=$F42,$AD42-SUM($G42:U42),0)</f>
        <v>14.406283100604526</v>
      </c>
      <c r="AU42" s="153">
        <f ca="1">IF(V$33&gt;=$F42,$AD42-SUM($G42:V42),0)</f>
        <v>4.2279514252392687</v>
      </c>
      <c r="AV42" s="153">
        <f ca="1">IF(W$33&gt;=$F42,$AD42-SUM($G42:W42),0)</f>
        <v>1.0206913491140028</v>
      </c>
      <c r="AW42" s="153">
        <f ca="1">IF(X$33&gt;=$F42,$AD42-SUM($G42:X42),0)</f>
        <v>4.333044031639588E-2</v>
      </c>
      <c r="AX42" s="153">
        <f ca="1">IF(Y$33&gt;=$F42,$AD42-SUM($G42:Y42),0)</f>
        <v>4.333044031639588E-2</v>
      </c>
      <c r="AY42" s="153">
        <f ca="1">IF(Z$33&gt;=$F42,$AD42-SUM($G42:Z42),0)</f>
        <v>4.333044031639588E-2</v>
      </c>
      <c r="AZ42" s="154">
        <f ca="1">IF(AA$33&gt;=$F42,$AD42-SUM($G42:AA42),0)</f>
        <v>4.333044031639588E-2</v>
      </c>
    </row>
    <row r="43" spans="4:52" x14ac:dyDescent="0.3">
      <c r="D43" s="177">
        <f t="shared" ca="1" si="3"/>
        <v>2871.3902422991505</v>
      </c>
      <c r="E43" s="170">
        <f t="shared" ca="1" si="4"/>
        <v>246.59476623408443</v>
      </c>
      <c r="F43" s="157">
        <v>2170</v>
      </c>
      <c r="G43" s="152">
        <f t="shared" si="1"/>
        <v>0</v>
      </c>
      <c r="H43" s="153">
        <f t="shared" si="1"/>
        <v>0</v>
      </c>
      <c r="I43" s="153">
        <f t="shared" si="1"/>
        <v>0</v>
      </c>
      <c r="J43" s="153">
        <f t="shared" si="1"/>
        <v>0</v>
      </c>
      <c r="K43" s="153">
        <f t="shared" si="1"/>
        <v>0</v>
      </c>
      <c r="L43" s="153">
        <f t="shared" si="1"/>
        <v>0</v>
      </c>
      <c r="M43" s="153">
        <f t="shared" si="1"/>
        <v>0</v>
      </c>
      <c r="N43" s="153">
        <f t="shared" si="1"/>
        <v>0</v>
      </c>
      <c r="O43" s="153">
        <f t="shared" si="1"/>
        <v>0</v>
      </c>
      <c r="P43" s="153">
        <f t="shared" ca="1" si="1"/>
        <v>0</v>
      </c>
      <c r="Q43" s="153">
        <f t="shared" ca="1" si="2"/>
        <v>0</v>
      </c>
      <c r="R43" s="153">
        <f t="shared" ca="1" si="2"/>
        <v>28.369996294856499</v>
      </c>
      <c r="S43" s="153">
        <f t="shared" ca="1" si="2"/>
        <v>63.584216776650933</v>
      </c>
      <c r="T43" s="153">
        <f t="shared" ca="1" si="2"/>
        <v>66.884839835390025</v>
      </c>
      <c r="U43" s="153">
        <f t="shared" ca="1" si="2"/>
        <v>47.864864485606482</v>
      </c>
      <c r="V43" s="153">
        <f t="shared" ca="1" si="2"/>
        <v>25.351638273537521</v>
      </c>
      <c r="W43" s="153">
        <f t="shared" ca="1" si="2"/>
        <v>10.272247631542628</v>
      </c>
      <c r="X43" s="153">
        <f t="shared" ca="1" si="2"/>
        <v>3.2368536191896684</v>
      </c>
      <c r="Y43" s="153">
        <f t="shared" ca="1" si="2"/>
        <v>0.98637906493633776</v>
      </c>
      <c r="Z43" s="153">
        <f t="shared" ca="1" si="2"/>
        <v>0</v>
      </c>
      <c r="AA43" s="154">
        <f t="shared" ca="1" si="2"/>
        <v>0</v>
      </c>
      <c r="AD43" s="170">
        <f ca="1"/>
        <v>246.59476623408443</v>
      </c>
      <c r="AE43" s="157">
        <v>2170</v>
      </c>
      <c r="AF43" s="152">
        <f>IF(G$33&gt;=$F43,$AD43-SUM($G43:G43),0)</f>
        <v>0</v>
      </c>
      <c r="AG43" s="153">
        <f>IF(H$33&gt;=$F43,$AD43-SUM($G43:H43),0)</f>
        <v>0</v>
      </c>
      <c r="AH43" s="153">
        <f>IF(I$33&gt;=$F43,$AD43-SUM($G43:I43),0)</f>
        <v>0</v>
      </c>
      <c r="AI43" s="153">
        <f>IF(J$33&gt;=$F43,$AD43-SUM($G43:J43),0)</f>
        <v>0</v>
      </c>
      <c r="AJ43" s="153">
        <f>IF(K$33&gt;=$F43,$AD43-SUM($G43:K43),0)</f>
        <v>0</v>
      </c>
      <c r="AK43" s="153">
        <f>IF(L$33&gt;=$F43,$AD43-SUM($G43:L43),0)</f>
        <v>0</v>
      </c>
      <c r="AL43" s="153">
        <f>IF(M$33&gt;=$F43,$AD43-SUM($G43:M43),0)</f>
        <v>0</v>
      </c>
      <c r="AM43" s="153">
        <f>IF(N$33&gt;=$F43,$AD43-SUM($G43:N43),0)</f>
        <v>0</v>
      </c>
      <c r="AN43" s="153">
        <f>IF(O$33&gt;=$F43,$AD43-SUM($G43:O43),0)</f>
        <v>0</v>
      </c>
      <c r="AO43" s="153">
        <f ca="1">IF(P$33&gt;=$F43,$AD43-SUM($G43:P43),0)</f>
        <v>246.59476623408443</v>
      </c>
      <c r="AP43" s="153">
        <f ca="1">IF(Q$33&gt;=$F43,$AD43-SUM($G43:Q43),0)</f>
        <v>246.59476623408443</v>
      </c>
      <c r="AQ43" s="153">
        <f ca="1">IF(R$33&gt;=$F43,$AD43-SUM($G43:R43),0)</f>
        <v>218.22476993922794</v>
      </c>
      <c r="AR43" s="153">
        <f ca="1">IF(S$33&gt;=$F43,$AD43-SUM($G43:S43),0)</f>
        <v>154.64055316257699</v>
      </c>
      <c r="AS43" s="153">
        <f ca="1">IF(T$33&gt;=$F43,$AD43-SUM($G43:T43),0)</f>
        <v>87.755713327186982</v>
      </c>
      <c r="AT43" s="153">
        <f ca="1">IF(U$33&gt;=$F43,$AD43-SUM($G43:U43),0)</f>
        <v>39.890848841580492</v>
      </c>
      <c r="AU43" s="153">
        <f ca="1">IF(V$33&gt;=$F43,$AD43-SUM($G43:V43),0)</f>
        <v>14.539210568042961</v>
      </c>
      <c r="AV43" s="153">
        <f ca="1">IF(W$33&gt;=$F43,$AD43-SUM($G43:W43),0)</f>
        <v>4.2669629365003345</v>
      </c>
      <c r="AW43" s="153">
        <f ca="1">IF(X$33&gt;=$F43,$AD43-SUM($G43:X43),0)</f>
        <v>1.0301093173106608</v>
      </c>
      <c r="AX43" s="153">
        <f ca="1">IF(Y$33&gt;=$F43,$AD43-SUM($G43:Y43),0)</f>
        <v>4.3730252374331258E-2</v>
      </c>
      <c r="AY43" s="153">
        <f ca="1">IF(Z$33&gt;=$F43,$AD43-SUM($G43:Z43),0)</f>
        <v>4.3730252374331258E-2</v>
      </c>
      <c r="AZ43" s="154">
        <f ca="1">IF(AA$33&gt;=$F43,$AD43-SUM($G43:AA43),0)</f>
        <v>4.3730252374331258E-2</v>
      </c>
    </row>
    <row r="44" spans="4:52" x14ac:dyDescent="0.3">
      <c r="D44" s="177">
        <f t="shared" ca="1" si="3"/>
        <v>3114.4118368796744</v>
      </c>
      <c r="E44" s="170">
        <f t="shared" ca="1" si="4"/>
        <v>243.02159458052387</v>
      </c>
      <c r="F44" s="157">
        <v>2180</v>
      </c>
      <c r="G44" s="152">
        <f t="shared" ref="G44:P54" si="5">IF(G$33&gt;=$F44,$E44*INDEX($F$5:$Z$5,MATCH(G$64-$F44,$F$4:$Z$4,0)),0)</f>
        <v>0</v>
      </c>
      <c r="H44" s="153">
        <f t="shared" si="5"/>
        <v>0</v>
      </c>
      <c r="I44" s="153">
        <f t="shared" si="5"/>
        <v>0</v>
      </c>
      <c r="J44" s="153">
        <f t="shared" si="5"/>
        <v>0</v>
      </c>
      <c r="K44" s="153">
        <f t="shared" si="5"/>
        <v>0</v>
      </c>
      <c r="L44" s="153">
        <f t="shared" si="5"/>
        <v>0</v>
      </c>
      <c r="M44" s="153">
        <f t="shared" si="5"/>
        <v>0</v>
      </c>
      <c r="N44" s="153">
        <f t="shared" si="5"/>
        <v>0</v>
      </c>
      <c r="O44" s="153">
        <f t="shared" si="5"/>
        <v>0</v>
      </c>
      <c r="P44" s="153">
        <f t="shared" si="5"/>
        <v>0</v>
      </c>
      <c r="Q44" s="153">
        <f t="shared" ref="Q44:AA54" ca="1" si="6">IF(Q$33&gt;=$F44,$E44*INDEX($F$5:$Z$5,MATCH(Q$64-$F44,$F$4:$Z$4,0)),0)</f>
        <v>0</v>
      </c>
      <c r="R44" s="153">
        <f t="shared" ca="1" si="6"/>
        <v>0</v>
      </c>
      <c r="S44" s="153">
        <f t="shared" ca="1" si="6"/>
        <v>27.958913496464209</v>
      </c>
      <c r="T44" s="153">
        <f t="shared" ca="1" si="6"/>
        <v>62.662877996960418</v>
      </c>
      <c r="U44" s="153">
        <f t="shared" ca="1" si="6"/>
        <v>65.915674847006258</v>
      </c>
      <c r="V44" s="153">
        <f t="shared" ca="1" si="6"/>
        <v>47.171299980595322</v>
      </c>
      <c r="W44" s="153">
        <f t="shared" ca="1" si="6"/>
        <v>24.984291648003971</v>
      </c>
      <c r="X44" s="153">
        <f t="shared" ca="1" si="6"/>
        <v>10.123402201382362</v>
      </c>
      <c r="Y44" s="153">
        <f t="shared" ca="1" si="6"/>
        <v>3.189951433164218</v>
      </c>
      <c r="Z44" s="153">
        <f t="shared" ca="1" si="6"/>
        <v>0.97208637832209555</v>
      </c>
      <c r="AA44" s="154">
        <f t="shared" ca="1" si="6"/>
        <v>0</v>
      </c>
      <c r="AD44" s="170">
        <f ca="1"/>
        <v>243.02159458052387</v>
      </c>
      <c r="AE44" s="157">
        <v>2180</v>
      </c>
      <c r="AF44" s="152">
        <f>IF(G$33&gt;=$F44,$AD44-SUM($G44:G44),0)</f>
        <v>0</v>
      </c>
      <c r="AG44" s="153">
        <f>IF(H$33&gt;=$F44,$AD44-SUM($G44:H44),0)</f>
        <v>0</v>
      </c>
      <c r="AH44" s="153">
        <f>IF(I$33&gt;=$F44,$AD44-SUM($G44:I44),0)</f>
        <v>0</v>
      </c>
      <c r="AI44" s="153">
        <f>IF(J$33&gt;=$F44,$AD44-SUM($G44:J44),0)</f>
        <v>0</v>
      </c>
      <c r="AJ44" s="153">
        <f>IF(K$33&gt;=$F44,$AD44-SUM($G44:K44),0)</f>
        <v>0</v>
      </c>
      <c r="AK44" s="153">
        <f>IF(L$33&gt;=$F44,$AD44-SUM($G44:L44),0)</f>
        <v>0</v>
      </c>
      <c r="AL44" s="153">
        <f>IF(M$33&gt;=$F44,$AD44-SUM($G44:M44),0)</f>
        <v>0</v>
      </c>
      <c r="AM44" s="153">
        <f>IF(N$33&gt;=$F44,$AD44-SUM($G44:N44),0)</f>
        <v>0</v>
      </c>
      <c r="AN44" s="153">
        <f>IF(O$33&gt;=$F44,$AD44-SUM($G44:O44),0)</f>
        <v>0</v>
      </c>
      <c r="AO44" s="153">
        <f>IF(P$33&gt;=$F44,$AD44-SUM($G44:P44),0)</f>
        <v>0</v>
      </c>
      <c r="AP44" s="153">
        <f ca="1">IF(Q$33&gt;=$F44,$AD44-SUM($G44:Q44),0)</f>
        <v>243.02159458052387</v>
      </c>
      <c r="AQ44" s="153">
        <f ca="1">IF(R$33&gt;=$F44,$AD44-SUM($G44:R44),0)</f>
        <v>243.02159458052387</v>
      </c>
      <c r="AR44" s="153">
        <f ca="1">IF(S$33&gt;=$F44,$AD44-SUM($G44:S44),0)</f>
        <v>215.06268108405965</v>
      </c>
      <c r="AS44" s="153">
        <f ca="1">IF(T$33&gt;=$F44,$AD44-SUM($G44:T44),0)</f>
        <v>152.39980308709926</v>
      </c>
      <c r="AT44" s="153">
        <f ca="1">IF(U$33&gt;=$F44,$AD44-SUM($G44:U44),0)</f>
        <v>86.484128240092986</v>
      </c>
      <c r="AU44" s="153">
        <f ca="1">IF(V$33&gt;=$F44,$AD44-SUM($G44:V44),0)</f>
        <v>39.312828259497678</v>
      </c>
      <c r="AV44" s="153">
        <f ca="1">IF(W$33&gt;=$F44,$AD44-SUM($G44:W44),0)</f>
        <v>14.328536611493718</v>
      </c>
      <c r="AW44" s="153">
        <f ca="1">IF(X$33&gt;=$F44,$AD44-SUM($G44:X44),0)</f>
        <v>4.2051344101113557</v>
      </c>
      <c r="AX44" s="153">
        <f ca="1">IF(Y$33&gt;=$F44,$AD44-SUM($G44:Y44),0)</f>
        <v>1.0151829769471306</v>
      </c>
      <c r="AY44" s="153">
        <f ca="1">IF(Z$33&gt;=$F44,$AD44-SUM($G44:Z44),0)</f>
        <v>4.3096598625027127E-2</v>
      </c>
      <c r="AZ44" s="154">
        <f ca="1">IF(AA$33&gt;=$F44,$AD44-SUM($G44:AA44),0)</f>
        <v>4.3096598625027127E-2</v>
      </c>
    </row>
    <row r="45" spans="4:52" x14ac:dyDescent="0.3">
      <c r="D45" s="177">
        <f t="shared" ca="1" si="3"/>
        <v>3356.9321275837574</v>
      </c>
      <c r="E45" s="170">
        <f t="shared" ca="1" si="4"/>
        <v>242.52029070408301</v>
      </c>
      <c r="F45" s="157">
        <v>2190</v>
      </c>
      <c r="G45" s="152">
        <f t="shared" si="5"/>
        <v>0</v>
      </c>
      <c r="H45" s="153">
        <f t="shared" si="5"/>
        <v>0</v>
      </c>
      <c r="I45" s="153">
        <f t="shared" si="5"/>
        <v>0</v>
      </c>
      <c r="J45" s="153">
        <f t="shared" si="5"/>
        <v>0</v>
      </c>
      <c r="K45" s="153">
        <f t="shared" si="5"/>
        <v>0</v>
      </c>
      <c r="L45" s="153">
        <f t="shared" si="5"/>
        <v>0</v>
      </c>
      <c r="M45" s="153">
        <f t="shared" si="5"/>
        <v>0</v>
      </c>
      <c r="N45" s="153">
        <f t="shared" si="5"/>
        <v>0</v>
      </c>
      <c r="O45" s="153">
        <f t="shared" si="5"/>
        <v>0</v>
      </c>
      <c r="P45" s="153">
        <f t="shared" si="5"/>
        <v>0</v>
      </c>
      <c r="Q45" s="153">
        <f t="shared" si="6"/>
        <v>0</v>
      </c>
      <c r="R45" s="153">
        <f t="shared" ca="1" si="6"/>
        <v>0</v>
      </c>
      <c r="S45" s="153">
        <f t="shared" ca="1" si="6"/>
        <v>0</v>
      </c>
      <c r="T45" s="153">
        <f t="shared" ca="1" si="6"/>
        <v>27.901239972672858</v>
      </c>
      <c r="U45" s="153">
        <f t="shared" ca="1" si="6"/>
        <v>62.533617287832747</v>
      </c>
      <c r="V45" s="153">
        <f t="shared" ca="1" si="6"/>
        <v>65.779704282842786</v>
      </c>
      <c r="W45" s="153">
        <f t="shared" ca="1" si="6"/>
        <v>47.073995230464597</v>
      </c>
      <c r="X45" s="153">
        <f t="shared" ca="1" si="6"/>
        <v>24.932754161078616</v>
      </c>
      <c r="Y45" s="153">
        <f t="shared" ca="1" si="6"/>
        <v>10.102519691846192</v>
      </c>
      <c r="Z45" s="153">
        <f t="shared" ca="1" si="6"/>
        <v>3.183371215377961</v>
      </c>
      <c r="AA45" s="154">
        <f t="shared" ca="1" si="6"/>
        <v>0.97008116281633205</v>
      </c>
      <c r="AD45" s="170">
        <f ca="1"/>
        <v>242.52029070408301</v>
      </c>
      <c r="AE45" s="157">
        <v>2190</v>
      </c>
      <c r="AF45" s="152">
        <f>IF(G$33&gt;=$F45,$AD45-SUM($G45:G45),0)</f>
        <v>0</v>
      </c>
      <c r="AG45" s="153">
        <f>IF(H$33&gt;=$F45,$AD45-SUM($G45:H45),0)</f>
        <v>0</v>
      </c>
      <c r="AH45" s="153">
        <f>IF(I$33&gt;=$F45,$AD45-SUM($G45:I45),0)</f>
        <v>0</v>
      </c>
      <c r="AI45" s="153">
        <f>IF(J$33&gt;=$F45,$AD45-SUM($G45:J45),0)</f>
        <v>0</v>
      </c>
      <c r="AJ45" s="153">
        <f>IF(K$33&gt;=$F45,$AD45-SUM($G45:K45),0)</f>
        <v>0</v>
      </c>
      <c r="AK45" s="153">
        <f>IF(L$33&gt;=$F45,$AD45-SUM($G45:L45),0)</f>
        <v>0</v>
      </c>
      <c r="AL45" s="153">
        <f>IF(M$33&gt;=$F45,$AD45-SUM($G45:M45),0)</f>
        <v>0</v>
      </c>
      <c r="AM45" s="153">
        <f>IF(N$33&gt;=$F45,$AD45-SUM($G45:N45),0)</f>
        <v>0</v>
      </c>
      <c r="AN45" s="153">
        <f>IF(O$33&gt;=$F45,$AD45-SUM($G45:O45),0)</f>
        <v>0</v>
      </c>
      <c r="AO45" s="153">
        <f>IF(P$33&gt;=$F45,$AD45-SUM($G45:P45),0)</f>
        <v>0</v>
      </c>
      <c r="AP45" s="153">
        <f>IF(Q$33&gt;=$F45,$AD45-SUM($G45:Q45),0)</f>
        <v>0</v>
      </c>
      <c r="AQ45" s="153">
        <f ca="1">IF(R$33&gt;=$F45,$AD45-SUM($G45:R45),0)</f>
        <v>242.52029070408301</v>
      </c>
      <c r="AR45" s="153">
        <f ca="1">IF(S$33&gt;=$F45,$AD45-SUM($G45:S45),0)</f>
        <v>242.52029070408301</v>
      </c>
      <c r="AS45" s="153">
        <f ca="1">IF(T$33&gt;=$F45,$AD45-SUM($G45:T45),0)</f>
        <v>214.61905073141014</v>
      </c>
      <c r="AT45" s="153">
        <f ca="1">IF(U$33&gt;=$F45,$AD45-SUM($G45:U45),0)</f>
        <v>152.08543344357741</v>
      </c>
      <c r="AU45" s="153">
        <f ca="1">IF(V$33&gt;=$F45,$AD45-SUM($G45:V45),0)</f>
        <v>86.305729160734614</v>
      </c>
      <c r="AV45" s="153">
        <f ca="1">IF(W$33&gt;=$F45,$AD45-SUM($G45:W45),0)</f>
        <v>39.231733930270025</v>
      </c>
      <c r="AW45" s="153">
        <f ca="1">IF(X$33&gt;=$F45,$AD45-SUM($G45:X45),0)</f>
        <v>14.298979769191419</v>
      </c>
      <c r="AX45" s="153">
        <f ca="1">IF(Y$33&gt;=$F45,$AD45-SUM($G45:Y45),0)</f>
        <v>4.1964600773452219</v>
      </c>
      <c r="AY45" s="153">
        <f ca="1">IF(Z$33&gt;=$F45,$AD45-SUM($G45:Z45),0)</f>
        <v>1.0130888619672476</v>
      </c>
      <c r="AZ45" s="154">
        <f ca="1">IF(AA$33&gt;=$F45,$AD45-SUM($G45:AA45),0)</f>
        <v>4.300769915090541E-2</v>
      </c>
    </row>
    <row r="46" spans="4:52" x14ac:dyDescent="0.3">
      <c r="D46" s="177">
        <f t="shared" ca="1" si="3"/>
        <v>3599.9404049880327</v>
      </c>
      <c r="E46" s="170">
        <f t="shared" ca="1" si="4"/>
        <v>243.00827740427542</v>
      </c>
      <c r="F46" s="157">
        <v>2200</v>
      </c>
      <c r="G46" s="152">
        <f t="shared" si="5"/>
        <v>0</v>
      </c>
      <c r="H46" s="153">
        <f t="shared" si="5"/>
        <v>0</v>
      </c>
      <c r="I46" s="153">
        <f t="shared" si="5"/>
        <v>0</v>
      </c>
      <c r="J46" s="153">
        <f t="shared" si="5"/>
        <v>0</v>
      </c>
      <c r="K46" s="153">
        <f t="shared" si="5"/>
        <v>0</v>
      </c>
      <c r="L46" s="153">
        <f t="shared" si="5"/>
        <v>0</v>
      </c>
      <c r="M46" s="153">
        <f t="shared" si="5"/>
        <v>0</v>
      </c>
      <c r="N46" s="153">
        <f t="shared" si="5"/>
        <v>0</v>
      </c>
      <c r="O46" s="153">
        <f t="shared" si="5"/>
        <v>0</v>
      </c>
      <c r="P46" s="153">
        <f t="shared" si="5"/>
        <v>0</v>
      </c>
      <c r="Q46" s="153">
        <f t="shared" si="6"/>
        <v>0</v>
      </c>
      <c r="R46" s="153">
        <f t="shared" si="6"/>
        <v>0</v>
      </c>
      <c r="S46" s="153">
        <f t="shared" ca="1" si="6"/>
        <v>0</v>
      </c>
      <c r="T46" s="153">
        <f t="shared" ca="1" si="6"/>
        <v>0</v>
      </c>
      <c r="U46" s="153">
        <f t="shared" ca="1" si="6"/>
        <v>27.957381394844226</v>
      </c>
      <c r="V46" s="153">
        <f t="shared" ca="1" si="6"/>
        <v>62.659444176225435</v>
      </c>
      <c r="W46" s="153">
        <f t="shared" ca="1" si="6"/>
        <v>65.912062778453304</v>
      </c>
      <c r="X46" s="153">
        <f t="shared" ca="1" si="6"/>
        <v>47.168715072382554</v>
      </c>
      <c r="Y46" s="153">
        <f t="shared" ca="1" si="6"/>
        <v>24.982922550677895</v>
      </c>
      <c r="Z46" s="153">
        <f t="shared" ca="1" si="6"/>
        <v>10.122847455901482</v>
      </c>
      <c r="AA46" s="154">
        <f t="shared" ca="1" si="6"/>
        <v>3.1897766291698124</v>
      </c>
      <c r="AD46" s="170">
        <f ca="1"/>
        <v>243.00827740427542</v>
      </c>
      <c r="AE46" s="157">
        <v>2200</v>
      </c>
      <c r="AF46" s="152">
        <f>IF(G$33&gt;=$F46,$AD46-SUM($G46:G46),0)</f>
        <v>0</v>
      </c>
      <c r="AG46" s="153">
        <f>IF(H$33&gt;=$F46,$AD46-SUM($G46:H46),0)</f>
        <v>0</v>
      </c>
      <c r="AH46" s="153">
        <f>IF(I$33&gt;=$F46,$AD46-SUM($G46:I46),0)</f>
        <v>0</v>
      </c>
      <c r="AI46" s="153">
        <f>IF(J$33&gt;=$F46,$AD46-SUM($G46:J46),0)</f>
        <v>0</v>
      </c>
      <c r="AJ46" s="153">
        <f>IF(K$33&gt;=$F46,$AD46-SUM($G46:K46),0)</f>
        <v>0</v>
      </c>
      <c r="AK46" s="153">
        <f>IF(L$33&gt;=$F46,$AD46-SUM($G46:L46),0)</f>
        <v>0</v>
      </c>
      <c r="AL46" s="153">
        <f>IF(M$33&gt;=$F46,$AD46-SUM($G46:M46),0)</f>
        <v>0</v>
      </c>
      <c r="AM46" s="153">
        <f>IF(N$33&gt;=$F46,$AD46-SUM($G46:N46),0)</f>
        <v>0</v>
      </c>
      <c r="AN46" s="153">
        <f>IF(O$33&gt;=$F46,$AD46-SUM($G46:O46),0)</f>
        <v>0</v>
      </c>
      <c r="AO46" s="153">
        <f>IF(P$33&gt;=$F46,$AD46-SUM($G46:P46),0)</f>
        <v>0</v>
      </c>
      <c r="AP46" s="153">
        <f>IF(Q$33&gt;=$F46,$AD46-SUM($G46:Q46),0)</f>
        <v>0</v>
      </c>
      <c r="AQ46" s="153">
        <f>IF(R$33&gt;=$F46,$AD46-SUM($G46:R46),0)</f>
        <v>0</v>
      </c>
      <c r="AR46" s="153">
        <f ca="1">IF(S$33&gt;=$F46,$AD46-SUM($G46:S46),0)</f>
        <v>243.00827740427542</v>
      </c>
      <c r="AS46" s="153">
        <f ca="1">IF(T$33&gt;=$F46,$AD46-SUM($G46:T46),0)</f>
        <v>243.00827740427542</v>
      </c>
      <c r="AT46" s="153">
        <f ca="1">IF(U$33&gt;=$F46,$AD46-SUM($G46:U46),0)</f>
        <v>215.0508960094312</v>
      </c>
      <c r="AU46" s="153">
        <f ca="1">IF(V$33&gt;=$F46,$AD46-SUM($G46:V46),0)</f>
        <v>152.39145183320576</v>
      </c>
      <c r="AV46" s="153">
        <f ca="1">IF(W$33&gt;=$F46,$AD46-SUM($G46:W46),0)</f>
        <v>86.47938905475246</v>
      </c>
      <c r="AW46" s="153">
        <f ca="1">IF(X$33&gt;=$F46,$AD46-SUM($G46:X46),0)</f>
        <v>39.310673982369906</v>
      </c>
      <c r="AX46" s="153">
        <f ca="1">IF(Y$33&gt;=$F46,$AD46-SUM($G46:Y46),0)</f>
        <v>14.327751431692008</v>
      </c>
      <c r="AY46" s="153">
        <f ca="1">IF(Z$33&gt;=$F46,$AD46-SUM($G46:Z46),0)</f>
        <v>4.2049039757905291</v>
      </c>
      <c r="AZ46" s="154">
        <f ca="1">IF(AA$33&gt;=$F46,$AD46-SUM($G46:AA46),0)</f>
        <v>1.0151273466207158</v>
      </c>
    </row>
    <row r="47" spans="4:52" x14ac:dyDescent="0.3">
      <c r="D47" s="177">
        <f t="shared" ca="1" si="3"/>
        <v>3843.3032203169132</v>
      </c>
      <c r="E47" s="170">
        <f t="shared" ca="1" si="4"/>
        <v>243.36281532888057</v>
      </c>
      <c r="F47" s="157">
        <v>2210</v>
      </c>
      <c r="G47" s="152">
        <f t="shared" si="5"/>
        <v>0</v>
      </c>
      <c r="H47" s="153">
        <f t="shared" si="5"/>
        <v>0</v>
      </c>
      <c r="I47" s="153">
        <f t="shared" si="5"/>
        <v>0</v>
      </c>
      <c r="J47" s="153">
        <f t="shared" si="5"/>
        <v>0</v>
      </c>
      <c r="K47" s="153">
        <f t="shared" si="5"/>
        <v>0</v>
      </c>
      <c r="L47" s="153">
        <f t="shared" si="5"/>
        <v>0</v>
      </c>
      <c r="M47" s="153">
        <f t="shared" si="5"/>
        <v>0</v>
      </c>
      <c r="N47" s="153">
        <f t="shared" si="5"/>
        <v>0</v>
      </c>
      <c r="O47" s="153">
        <f t="shared" si="5"/>
        <v>0</v>
      </c>
      <c r="P47" s="153">
        <f t="shared" si="5"/>
        <v>0</v>
      </c>
      <c r="Q47" s="153">
        <f t="shared" si="6"/>
        <v>0</v>
      </c>
      <c r="R47" s="153">
        <f t="shared" si="6"/>
        <v>0</v>
      </c>
      <c r="S47" s="153">
        <f t="shared" si="6"/>
        <v>0</v>
      </c>
      <c r="T47" s="153">
        <f t="shared" ca="1" si="6"/>
        <v>0</v>
      </c>
      <c r="U47" s="153">
        <f t="shared" ca="1" si="6"/>
        <v>0</v>
      </c>
      <c r="V47" s="153">
        <f t="shared" ca="1" si="6"/>
        <v>27.998169931280099</v>
      </c>
      <c r="W47" s="153">
        <f t="shared" ca="1" si="6"/>
        <v>62.750861429713446</v>
      </c>
      <c r="X47" s="153">
        <f t="shared" ca="1" si="6"/>
        <v>66.008225453212901</v>
      </c>
      <c r="Y47" s="153">
        <f t="shared" ca="1" si="6"/>
        <v>47.237532063008075</v>
      </c>
      <c r="Z47" s="153">
        <f t="shared" ca="1" si="6"/>
        <v>25.019371488163895</v>
      </c>
      <c r="AA47" s="154">
        <f t="shared" ca="1" si="6"/>
        <v>10.137616225782267</v>
      </c>
      <c r="AD47" s="170">
        <f ca="1"/>
        <v>243.36281532888057</v>
      </c>
      <c r="AE47" s="157">
        <v>2210</v>
      </c>
      <c r="AF47" s="152">
        <f>IF(G$33&gt;=$F47,$AD47-SUM($G47:G47),0)</f>
        <v>0</v>
      </c>
      <c r="AG47" s="153">
        <f>IF(H$33&gt;=$F47,$AD47-SUM($G47:H47),0)</f>
        <v>0</v>
      </c>
      <c r="AH47" s="153">
        <f>IF(I$33&gt;=$F47,$AD47-SUM($G47:I47),0)</f>
        <v>0</v>
      </c>
      <c r="AI47" s="153">
        <f>IF(J$33&gt;=$F47,$AD47-SUM($G47:J47),0)</f>
        <v>0</v>
      </c>
      <c r="AJ47" s="153">
        <f>IF(K$33&gt;=$F47,$AD47-SUM($G47:K47),0)</f>
        <v>0</v>
      </c>
      <c r="AK47" s="153">
        <f>IF(L$33&gt;=$F47,$AD47-SUM($G47:L47),0)</f>
        <v>0</v>
      </c>
      <c r="AL47" s="153">
        <f>IF(M$33&gt;=$F47,$AD47-SUM($G47:M47),0)</f>
        <v>0</v>
      </c>
      <c r="AM47" s="153">
        <f>IF(N$33&gt;=$F47,$AD47-SUM($G47:N47),0)</f>
        <v>0</v>
      </c>
      <c r="AN47" s="153">
        <f>IF(O$33&gt;=$F47,$AD47-SUM($G47:O47),0)</f>
        <v>0</v>
      </c>
      <c r="AO47" s="153">
        <f>IF(P$33&gt;=$F47,$AD47-SUM($G47:P47),0)</f>
        <v>0</v>
      </c>
      <c r="AP47" s="153">
        <f>IF(Q$33&gt;=$F47,$AD47-SUM($G47:Q47),0)</f>
        <v>0</v>
      </c>
      <c r="AQ47" s="153">
        <f>IF(R$33&gt;=$F47,$AD47-SUM($G47:R47),0)</f>
        <v>0</v>
      </c>
      <c r="AR47" s="153">
        <f>IF(S$33&gt;=$F47,$AD47-SUM($G47:S47),0)</f>
        <v>0</v>
      </c>
      <c r="AS47" s="153">
        <f ca="1">IF(T$33&gt;=$F47,$AD47-SUM($G47:T47),0)</f>
        <v>243.36281532888057</v>
      </c>
      <c r="AT47" s="153">
        <f ca="1">IF(U$33&gt;=$F47,$AD47-SUM($G47:U47),0)</f>
        <v>243.36281532888057</v>
      </c>
      <c r="AU47" s="153">
        <f ca="1">IF(V$33&gt;=$F47,$AD47-SUM($G47:V47),0)</f>
        <v>215.36464539760047</v>
      </c>
      <c r="AV47" s="153">
        <f ca="1">IF(W$33&gt;=$F47,$AD47-SUM($G47:W47),0)</f>
        <v>152.61378396788703</v>
      </c>
      <c r="AW47" s="153">
        <f ca="1">IF(X$33&gt;=$F47,$AD47-SUM($G47:X47),0)</f>
        <v>86.605558514674129</v>
      </c>
      <c r="AX47" s="153">
        <f ca="1">IF(Y$33&gt;=$F47,$AD47-SUM($G47:Y47),0)</f>
        <v>39.368026451666054</v>
      </c>
      <c r="AY47" s="153">
        <f ca="1">IF(Z$33&gt;=$F47,$AD47-SUM($G47:Z47),0)</f>
        <v>14.348654963502156</v>
      </c>
      <c r="AZ47" s="154">
        <f ca="1">IF(AA$33&gt;=$F47,$AD47-SUM($G47:AA47),0)</f>
        <v>4.211038737719889</v>
      </c>
    </row>
    <row r="48" spans="4:52" x14ac:dyDescent="0.3">
      <c r="D48" s="177">
        <f t="shared" ca="1" si="3"/>
        <v>4086.6185959668396</v>
      </c>
      <c r="E48" s="170">
        <f t="shared" ca="1" si="4"/>
        <v>243.31537564992644</v>
      </c>
      <c r="F48" s="157">
        <v>2220</v>
      </c>
      <c r="G48" s="152">
        <f t="shared" si="5"/>
        <v>0</v>
      </c>
      <c r="H48" s="153">
        <f t="shared" si="5"/>
        <v>0</v>
      </c>
      <c r="I48" s="153">
        <f t="shared" si="5"/>
        <v>0</v>
      </c>
      <c r="J48" s="153">
        <f t="shared" si="5"/>
        <v>0</v>
      </c>
      <c r="K48" s="153">
        <f t="shared" si="5"/>
        <v>0</v>
      </c>
      <c r="L48" s="153">
        <f t="shared" si="5"/>
        <v>0</v>
      </c>
      <c r="M48" s="153">
        <f t="shared" si="5"/>
        <v>0</v>
      </c>
      <c r="N48" s="153">
        <f t="shared" si="5"/>
        <v>0</v>
      </c>
      <c r="O48" s="153">
        <f t="shared" si="5"/>
        <v>0</v>
      </c>
      <c r="P48" s="153">
        <f t="shared" si="5"/>
        <v>0</v>
      </c>
      <c r="Q48" s="153">
        <f t="shared" si="6"/>
        <v>0</v>
      </c>
      <c r="R48" s="153">
        <f t="shared" si="6"/>
        <v>0</v>
      </c>
      <c r="S48" s="153">
        <f t="shared" si="6"/>
        <v>0</v>
      </c>
      <c r="T48" s="153">
        <f t="shared" si="6"/>
        <v>0</v>
      </c>
      <c r="U48" s="153">
        <f t="shared" ca="1" si="6"/>
        <v>0</v>
      </c>
      <c r="V48" s="153">
        <f t="shared" ca="1" si="6"/>
        <v>0</v>
      </c>
      <c r="W48" s="153">
        <f t="shared" ca="1" si="6"/>
        <v>27.992712136953351</v>
      </c>
      <c r="X48" s="153">
        <f t="shared" ca="1" si="6"/>
        <v>62.738629155377289</v>
      </c>
      <c r="Y48" s="153">
        <f t="shared" ca="1" si="6"/>
        <v>65.99535820798647</v>
      </c>
      <c r="Z48" s="153">
        <f t="shared" ca="1" si="6"/>
        <v>47.228323863503043</v>
      </c>
      <c r="AA48" s="154">
        <f t="shared" ca="1" si="6"/>
        <v>25.014494362833844</v>
      </c>
      <c r="AD48" s="170">
        <f ca="1"/>
        <v>243.31537564992644</v>
      </c>
      <c r="AE48" s="157">
        <v>2220</v>
      </c>
      <c r="AF48" s="152">
        <f>IF(G$33&gt;=$F48,$AD48-SUM($G48:G48),0)</f>
        <v>0</v>
      </c>
      <c r="AG48" s="153">
        <f>IF(H$33&gt;=$F48,$AD48-SUM($G48:H48),0)</f>
        <v>0</v>
      </c>
      <c r="AH48" s="153">
        <f>IF(I$33&gt;=$F48,$AD48-SUM($G48:I48),0)</f>
        <v>0</v>
      </c>
      <c r="AI48" s="153">
        <f>IF(J$33&gt;=$F48,$AD48-SUM($G48:J48),0)</f>
        <v>0</v>
      </c>
      <c r="AJ48" s="153">
        <f>IF(K$33&gt;=$F48,$AD48-SUM($G48:K48),0)</f>
        <v>0</v>
      </c>
      <c r="AK48" s="153">
        <f>IF(L$33&gt;=$F48,$AD48-SUM($G48:L48),0)</f>
        <v>0</v>
      </c>
      <c r="AL48" s="153">
        <f>IF(M$33&gt;=$F48,$AD48-SUM($G48:M48),0)</f>
        <v>0</v>
      </c>
      <c r="AM48" s="153">
        <f>IF(N$33&gt;=$F48,$AD48-SUM($G48:N48),0)</f>
        <v>0</v>
      </c>
      <c r="AN48" s="153">
        <f>IF(O$33&gt;=$F48,$AD48-SUM($G48:O48),0)</f>
        <v>0</v>
      </c>
      <c r="AO48" s="153">
        <f>IF(P$33&gt;=$F48,$AD48-SUM($G48:P48),0)</f>
        <v>0</v>
      </c>
      <c r="AP48" s="153">
        <f>IF(Q$33&gt;=$F48,$AD48-SUM($G48:Q48),0)</f>
        <v>0</v>
      </c>
      <c r="AQ48" s="153">
        <f>IF(R$33&gt;=$F48,$AD48-SUM($G48:R48),0)</f>
        <v>0</v>
      </c>
      <c r="AR48" s="153">
        <f>IF(S$33&gt;=$F48,$AD48-SUM($G48:S48),0)</f>
        <v>0</v>
      </c>
      <c r="AS48" s="153">
        <f>IF(T$33&gt;=$F48,$AD48-SUM($G48:T48),0)</f>
        <v>0</v>
      </c>
      <c r="AT48" s="153">
        <f ca="1">IF(U$33&gt;=$F48,$AD48-SUM($G48:U48),0)</f>
        <v>243.31537564992644</v>
      </c>
      <c r="AU48" s="153">
        <f ca="1">IF(V$33&gt;=$F48,$AD48-SUM($G48:V48),0)</f>
        <v>243.31537564992644</v>
      </c>
      <c r="AV48" s="153">
        <f ca="1">IF(W$33&gt;=$F48,$AD48-SUM($G48:W48),0)</f>
        <v>215.32266351297309</v>
      </c>
      <c r="AW48" s="153">
        <f ca="1">IF(X$33&gt;=$F48,$AD48-SUM($G48:X48),0)</f>
        <v>152.58403435759578</v>
      </c>
      <c r="AX48" s="153">
        <f ca="1">IF(Y$33&gt;=$F48,$AD48-SUM($G48:Y48),0)</f>
        <v>86.588676149609313</v>
      </c>
      <c r="AY48" s="153">
        <f ca="1">IF(Z$33&gt;=$F48,$AD48-SUM($G48:Z48),0)</f>
        <v>39.360352286106263</v>
      </c>
      <c r="AZ48" s="154">
        <f ca="1">IF(AA$33&gt;=$F48,$AD48-SUM($G48:AA48),0)</f>
        <v>14.345857923272405</v>
      </c>
    </row>
    <row r="49" spans="2:52" x14ac:dyDescent="0.3">
      <c r="D49" s="177">
        <f t="shared" ca="1" si="3"/>
        <v>4329.7935353294324</v>
      </c>
      <c r="E49" s="170">
        <f t="shared" ca="1" si="4"/>
        <v>243.17493936259291</v>
      </c>
      <c r="F49" s="157">
        <v>2230</v>
      </c>
      <c r="G49" s="152">
        <f t="shared" si="5"/>
        <v>0</v>
      </c>
      <c r="H49" s="153">
        <f t="shared" si="5"/>
        <v>0</v>
      </c>
      <c r="I49" s="153">
        <f t="shared" si="5"/>
        <v>0</v>
      </c>
      <c r="J49" s="153">
        <f t="shared" si="5"/>
        <v>0</v>
      </c>
      <c r="K49" s="153">
        <f t="shared" si="5"/>
        <v>0</v>
      </c>
      <c r="L49" s="153">
        <f t="shared" si="5"/>
        <v>0</v>
      </c>
      <c r="M49" s="153">
        <f t="shared" si="5"/>
        <v>0</v>
      </c>
      <c r="N49" s="153">
        <f t="shared" si="5"/>
        <v>0</v>
      </c>
      <c r="O49" s="153">
        <f t="shared" si="5"/>
        <v>0</v>
      </c>
      <c r="P49" s="153">
        <f t="shared" si="5"/>
        <v>0</v>
      </c>
      <c r="Q49" s="153">
        <f t="shared" si="6"/>
        <v>0</v>
      </c>
      <c r="R49" s="153">
        <f t="shared" si="6"/>
        <v>0</v>
      </c>
      <c r="S49" s="153">
        <f t="shared" si="6"/>
        <v>0</v>
      </c>
      <c r="T49" s="153">
        <f t="shared" si="6"/>
        <v>0</v>
      </c>
      <c r="U49" s="153">
        <f t="shared" si="6"/>
        <v>0</v>
      </c>
      <c r="V49" s="153">
        <f t="shared" ca="1" si="6"/>
        <v>0</v>
      </c>
      <c r="W49" s="153">
        <f t="shared" ca="1" si="6"/>
        <v>0</v>
      </c>
      <c r="X49" s="153">
        <f t="shared" ca="1" si="6"/>
        <v>27.976555358720947</v>
      </c>
      <c r="Y49" s="153">
        <f t="shared" ca="1" si="6"/>
        <v>62.702417797474233</v>
      </c>
      <c r="Z49" s="153">
        <f t="shared" ca="1" si="6"/>
        <v>65.957267137649382</v>
      </c>
      <c r="AA49" s="154">
        <f t="shared" ca="1" si="6"/>
        <v>47.201064712934944</v>
      </c>
      <c r="AD49" s="170">
        <f ca="1"/>
        <v>243.17493936259291</v>
      </c>
      <c r="AE49" s="157">
        <v>2230</v>
      </c>
      <c r="AF49" s="152">
        <f>IF(G$33&gt;=$F49,$AD49-SUM($G49:G49),0)</f>
        <v>0</v>
      </c>
      <c r="AG49" s="153">
        <f>IF(H$33&gt;=$F49,$AD49-SUM($G49:H49),0)</f>
        <v>0</v>
      </c>
      <c r="AH49" s="153">
        <f>IF(I$33&gt;=$F49,$AD49-SUM($G49:I49),0)</f>
        <v>0</v>
      </c>
      <c r="AI49" s="153">
        <f>IF(J$33&gt;=$F49,$AD49-SUM($G49:J49),0)</f>
        <v>0</v>
      </c>
      <c r="AJ49" s="153">
        <f>IF(K$33&gt;=$F49,$AD49-SUM($G49:K49),0)</f>
        <v>0</v>
      </c>
      <c r="AK49" s="153">
        <f>IF(L$33&gt;=$F49,$AD49-SUM($G49:L49),0)</f>
        <v>0</v>
      </c>
      <c r="AL49" s="153">
        <f>IF(M$33&gt;=$F49,$AD49-SUM($G49:M49),0)</f>
        <v>0</v>
      </c>
      <c r="AM49" s="153">
        <f>IF(N$33&gt;=$F49,$AD49-SUM($G49:N49),0)</f>
        <v>0</v>
      </c>
      <c r="AN49" s="153">
        <f>IF(O$33&gt;=$F49,$AD49-SUM($G49:O49),0)</f>
        <v>0</v>
      </c>
      <c r="AO49" s="153">
        <f>IF(P$33&gt;=$F49,$AD49-SUM($G49:P49),0)</f>
        <v>0</v>
      </c>
      <c r="AP49" s="153">
        <f>IF(Q$33&gt;=$F49,$AD49-SUM($G49:Q49),0)</f>
        <v>0</v>
      </c>
      <c r="AQ49" s="153">
        <f>IF(R$33&gt;=$F49,$AD49-SUM($G49:R49),0)</f>
        <v>0</v>
      </c>
      <c r="AR49" s="153">
        <f>IF(S$33&gt;=$F49,$AD49-SUM($G49:S49),0)</f>
        <v>0</v>
      </c>
      <c r="AS49" s="153">
        <f>IF(T$33&gt;=$F49,$AD49-SUM($G49:T49),0)</f>
        <v>0</v>
      </c>
      <c r="AT49" s="153">
        <f>IF(U$33&gt;=$F49,$AD49-SUM($G49:U49),0)</f>
        <v>0</v>
      </c>
      <c r="AU49" s="153">
        <f ca="1">IF(V$33&gt;=$F49,$AD49-SUM($G49:V49),0)</f>
        <v>243.17493936259291</v>
      </c>
      <c r="AV49" s="153">
        <f ca="1">IF(W$33&gt;=$F49,$AD49-SUM($G49:W49),0)</f>
        <v>243.17493936259291</v>
      </c>
      <c r="AW49" s="153">
        <f ca="1">IF(X$33&gt;=$F49,$AD49-SUM($G49:X49),0)</f>
        <v>215.19838400387195</v>
      </c>
      <c r="AX49" s="153">
        <f ca="1">IF(Y$33&gt;=$F49,$AD49-SUM($G49:Y49),0)</f>
        <v>152.49596620639772</v>
      </c>
      <c r="AY49" s="153">
        <f ca="1">IF(Z$33&gt;=$F49,$AD49-SUM($G49:Z49),0)</f>
        <v>86.538699068748343</v>
      </c>
      <c r="AZ49" s="154">
        <f ca="1">IF(AA$33&gt;=$F49,$AD49-SUM($G49:AA49),0)</f>
        <v>39.337634355813407</v>
      </c>
    </row>
    <row r="50" spans="2:52" x14ac:dyDescent="0.3">
      <c r="D50" s="177">
        <f t="shared" ca="1" si="3"/>
        <v>4572.932693005353</v>
      </c>
      <c r="E50" s="170">
        <f t="shared" ca="1" si="4"/>
        <v>243.13915767592087</v>
      </c>
      <c r="F50" s="157">
        <v>2240</v>
      </c>
      <c r="G50" s="152">
        <f t="shared" si="5"/>
        <v>0</v>
      </c>
      <c r="H50" s="153">
        <f t="shared" si="5"/>
        <v>0</v>
      </c>
      <c r="I50" s="153">
        <f t="shared" si="5"/>
        <v>0</v>
      </c>
      <c r="J50" s="153">
        <f t="shared" si="5"/>
        <v>0</v>
      </c>
      <c r="K50" s="153">
        <f t="shared" si="5"/>
        <v>0</v>
      </c>
      <c r="L50" s="153">
        <f t="shared" si="5"/>
        <v>0</v>
      </c>
      <c r="M50" s="153">
        <f t="shared" si="5"/>
        <v>0</v>
      </c>
      <c r="N50" s="153">
        <f t="shared" si="5"/>
        <v>0</v>
      </c>
      <c r="O50" s="153">
        <f t="shared" si="5"/>
        <v>0</v>
      </c>
      <c r="P50" s="153">
        <f t="shared" si="5"/>
        <v>0</v>
      </c>
      <c r="Q50" s="153">
        <f t="shared" si="6"/>
        <v>0</v>
      </c>
      <c r="R50" s="153">
        <f t="shared" si="6"/>
        <v>0</v>
      </c>
      <c r="S50" s="153">
        <f t="shared" si="6"/>
        <v>0</v>
      </c>
      <c r="T50" s="153">
        <f t="shared" si="6"/>
        <v>0</v>
      </c>
      <c r="U50" s="153">
        <f t="shared" si="6"/>
        <v>0</v>
      </c>
      <c r="V50" s="153">
        <f t="shared" si="6"/>
        <v>0</v>
      </c>
      <c r="W50" s="153">
        <f t="shared" ca="1" si="6"/>
        <v>0</v>
      </c>
      <c r="X50" s="153">
        <f t="shared" ca="1" si="6"/>
        <v>0</v>
      </c>
      <c r="Y50" s="153">
        <f t="shared" ca="1" si="6"/>
        <v>27.972438781821072</v>
      </c>
      <c r="Z50" s="153">
        <f t="shared" ca="1" si="6"/>
        <v>62.69319152492703</v>
      </c>
      <c r="AA50" s="154">
        <f t="shared" ca="1" si="6"/>
        <v>65.947561934174672</v>
      </c>
      <c r="AD50" s="170">
        <f ca="1"/>
        <v>243.13915767592087</v>
      </c>
      <c r="AE50" s="157">
        <v>2240</v>
      </c>
      <c r="AF50" s="152">
        <f>IF(G$33&gt;=$F50,$AD50-SUM($G50:G50),0)</f>
        <v>0</v>
      </c>
      <c r="AG50" s="153">
        <f>IF(H$33&gt;=$F50,$AD50-SUM($G50:H50),0)</f>
        <v>0</v>
      </c>
      <c r="AH50" s="153">
        <f>IF(I$33&gt;=$F50,$AD50-SUM($G50:I50),0)</f>
        <v>0</v>
      </c>
      <c r="AI50" s="153">
        <f>IF(J$33&gt;=$F50,$AD50-SUM($G50:J50),0)</f>
        <v>0</v>
      </c>
      <c r="AJ50" s="153">
        <f>IF(K$33&gt;=$F50,$AD50-SUM($G50:K50),0)</f>
        <v>0</v>
      </c>
      <c r="AK50" s="153">
        <f>IF(L$33&gt;=$F50,$AD50-SUM($G50:L50),0)</f>
        <v>0</v>
      </c>
      <c r="AL50" s="153">
        <f>IF(M$33&gt;=$F50,$AD50-SUM($G50:M50),0)</f>
        <v>0</v>
      </c>
      <c r="AM50" s="153">
        <f>IF(N$33&gt;=$F50,$AD50-SUM($G50:N50),0)</f>
        <v>0</v>
      </c>
      <c r="AN50" s="153">
        <f>IF(O$33&gt;=$F50,$AD50-SUM($G50:O50),0)</f>
        <v>0</v>
      </c>
      <c r="AO50" s="153">
        <f>IF(P$33&gt;=$F50,$AD50-SUM($G50:P50),0)</f>
        <v>0</v>
      </c>
      <c r="AP50" s="153">
        <f>IF(Q$33&gt;=$F50,$AD50-SUM($G50:Q50),0)</f>
        <v>0</v>
      </c>
      <c r="AQ50" s="153">
        <f>IF(R$33&gt;=$F50,$AD50-SUM($G50:R50),0)</f>
        <v>0</v>
      </c>
      <c r="AR50" s="153">
        <f>IF(S$33&gt;=$F50,$AD50-SUM($G50:S50),0)</f>
        <v>0</v>
      </c>
      <c r="AS50" s="153">
        <f>IF(T$33&gt;=$F50,$AD50-SUM($G50:T50),0)</f>
        <v>0</v>
      </c>
      <c r="AT50" s="153">
        <f>IF(U$33&gt;=$F50,$AD50-SUM($G50:U50),0)</f>
        <v>0</v>
      </c>
      <c r="AU50" s="153">
        <f>IF(V$33&gt;=$F50,$AD50-SUM($G50:V50),0)</f>
        <v>0</v>
      </c>
      <c r="AV50" s="153">
        <f ca="1">IF(W$33&gt;=$F50,$AD50-SUM($G50:W50),0)</f>
        <v>243.13915767592087</v>
      </c>
      <c r="AW50" s="153">
        <f ca="1">IF(X$33&gt;=$F50,$AD50-SUM($G50:X50),0)</f>
        <v>243.13915767592087</v>
      </c>
      <c r="AX50" s="153">
        <f ca="1">IF(Y$33&gt;=$F50,$AD50-SUM($G50:Y50),0)</f>
        <v>215.1667188940998</v>
      </c>
      <c r="AY50" s="153">
        <f ca="1">IF(Z$33&gt;=$F50,$AD50-SUM($G50:Z50),0)</f>
        <v>152.47352736917276</v>
      </c>
      <c r="AZ50" s="154">
        <f ca="1">IF(AA$33&gt;=$F50,$AD50-SUM($G50:AA50),0)</f>
        <v>86.525965434998085</v>
      </c>
    </row>
    <row r="51" spans="2:52" x14ac:dyDescent="0.3">
      <c r="D51" s="177">
        <f t="shared" ca="1" si="3"/>
        <v>4816.0951889354947</v>
      </c>
      <c r="E51" s="170">
        <f t="shared" ca="1" si="4"/>
        <v>243.16249593014194</v>
      </c>
      <c r="F51" s="157">
        <v>2250</v>
      </c>
      <c r="G51" s="152">
        <f t="shared" si="5"/>
        <v>0</v>
      </c>
      <c r="H51" s="153">
        <f t="shared" si="5"/>
        <v>0</v>
      </c>
      <c r="I51" s="153">
        <f t="shared" si="5"/>
        <v>0</v>
      </c>
      <c r="J51" s="153">
        <f t="shared" si="5"/>
        <v>0</v>
      </c>
      <c r="K51" s="153">
        <f t="shared" si="5"/>
        <v>0</v>
      </c>
      <c r="L51" s="153">
        <f t="shared" si="5"/>
        <v>0</v>
      </c>
      <c r="M51" s="153">
        <f t="shared" si="5"/>
        <v>0</v>
      </c>
      <c r="N51" s="153">
        <f t="shared" si="5"/>
        <v>0</v>
      </c>
      <c r="O51" s="153">
        <f t="shared" si="5"/>
        <v>0</v>
      </c>
      <c r="P51" s="153">
        <f t="shared" si="5"/>
        <v>0</v>
      </c>
      <c r="Q51" s="153">
        <f t="shared" si="6"/>
        <v>0</v>
      </c>
      <c r="R51" s="153">
        <f t="shared" si="6"/>
        <v>0</v>
      </c>
      <c r="S51" s="153">
        <f t="shared" si="6"/>
        <v>0</v>
      </c>
      <c r="T51" s="153">
        <f t="shared" si="6"/>
        <v>0</v>
      </c>
      <c r="U51" s="153">
        <f t="shared" si="6"/>
        <v>0</v>
      </c>
      <c r="V51" s="153">
        <f t="shared" si="6"/>
        <v>0</v>
      </c>
      <c r="W51" s="153">
        <f t="shared" si="6"/>
        <v>0</v>
      </c>
      <c r="X51" s="153">
        <f t="shared" ca="1" si="6"/>
        <v>0</v>
      </c>
      <c r="Y51" s="153">
        <f t="shared" ca="1" si="6"/>
        <v>0</v>
      </c>
      <c r="Z51" s="153">
        <f t="shared" ca="1" si="6"/>
        <v>27.975123778732772</v>
      </c>
      <c r="AA51" s="154">
        <f t="shared" ca="1" si="6"/>
        <v>62.699209270713951</v>
      </c>
      <c r="AD51" s="170">
        <f ca="1"/>
        <v>243.16249593014194</v>
      </c>
      <c r="AE51" s="157">
        <v>2250</v>
      </c>
      <c r="AF51" s="152">
        <f>IF(G$33&gt;=$F51,$AD51-SUM($G51:G51),0)</f>
        <v>0</v>
      </c>
      <c r="AG51" s="153">
        <f>IF(H$33&gt;=$F51,$AD51-SUM($G51:H51),0)</f>
        <v>0</v>
      </c>
      <c r="AH51" s="153">
        <f>IF(I$33&gt;=$F51,$AD51-SUM($G51:I51),0)</f>
        <v>0</v>
      </c>
      <c r="AI51" s="153">
        <f>IF(J$33&gt;=$F51,$AD51-SUM($G51:J51),0)</f>
        <v>0</v>
      </c>
      <c r="AJ51" s="153">
        <f>IF(K$33&gt;=$F51,$AD51-SUM($G51:K51),0)</f>
        <v>0</v>
      </c>
      <c r="AK51" s="153">
        <f>IF(L$33&gt;=$F51,$AD51-SUM($G51:L51),0)</f>
        <v>0</v>
      </c>
      <c r="AL51" s="153">
        <f>IF(M$33&gt;=$F51,$AD51-SUM($G51:M51),0)</f>
        <v>0</v>
      </c>
      <c r="AM51" s="153">
        <f>IF(N$33&gt;=$F51,$AD51-SUM($G51:N51),0)</f>
        <v>0</v>
      </c>
      <c r="AN51" s="153">
        <f>IF(O$33&gt;=$F51,$AD51-SUM($G51:O51),0)</f>
        <v>0</v>
      </c>
      <c r="AO51" s="153">
        <f>IF(P$33&gt;=$F51,$AD51-SUM($G51:P51),0)</f>
        <v>0</v>
      </c>
      <c r="AP51" s="153">
        <f>IF(Q$33&gt;=$F51,$AD51-SUM($G51:Q51),0)</f>
        <v>0</v>
      </c>
      <c r="AQ51" s="153">
        <f>IF(R$33&gt;=$F51,$AD51-SUM($G51:R51),0)</f>
        <v>0</v>
      </c>
      <c r="AR51" s="153">
        <f>IF(S$33&gt;=$F51,$AD51-SUM($G51:S51),0)</f>
        <v>0</v>
      </c>
      <c r="AS51" s="153">
        <f>IF(T$33&gt;=$F51,$AD51-SUM($G51:T51),0)</f>
        <v>0</v>
      </c>
      <c r="AT51" s="153">
        <f>IF(U$33&gt;=$F51,$AD51-SUM($G51:U51),0)</f>
        <v>0</v>
      </c>
      <c r="AU51" s="153">
        <f>IF(V$33&gt;=$F51,$AD51-SUM($G51:V51),0)</f>
        <v>0</v>
      </c>
      <c r="AV51" s="153">
        <f>IF(W$33&gt;=$F51,$AD51-SUM($G51:W51),0)</f>
        <v>0</v>
      </c>
      <c r="AW51" s="153">
        <f ca="1">IF(X$33&gt;=$F51,$AD51-SUM($G51:X51),0)</f>
        <v>243.16249593014194</v>
      </c>
      <c r="AX51" s="153">
        <f ca="1">IF(Y$33&gt;=$F51,$AD51-SUM($G51:Y51),0)</f>
        <v>243.16249593014194</v>
      </c>
      <c r="AY51" s="153">
        <f ca="1">IF(Z$33&gt;=$F51,$AD51-SUM($G51:Z51),0)</f>
        <v>215.18737215140916</v>
      </c>
      <c r="AZ51" s="154">
        <f ca="1">IF(AA$33&gt;=$F51,$AD51-SUM($G51:AA51),0)</f>
        <v>152.48816288069523</v>
      </c>
    </row>
    <row r="52" spans="2:52" x14ac:dyDescent="0.3">
      <c r="D52" s="177">
        <f t="shared" ca="1" si="3"/>
        <v>5059.2647085264089</v>
      </c>
      <c r="E52" s="170">
        <f t="shared" ca="1" si="4"/>
        <v>243.16951959091449</v>
      </c>
      <c r="F52" s="157">
        <v>2260</v>
      </c>
      <c r="G52" s="152">
        <f t="shared" si="5"/>
        <v>0</v>
      </c>
      <c r="H52" s="153">
        <f t="shared" si="5"/>
        <v>0</v>
      </c>
      <c r="I52" s="153">
        <f t="shared" si="5"/>
        <v>0</v>
      </c>
      <c r="J52" s="153">
        <f t="shared" si="5"/>
        <v>0</v>
      </c>
      <c r="K52" s="153">
        <f t="shared" si="5"/>
        <v>0</v>
      </c>
      <c r="L52" s="153">
        <f t="shared" si="5"/>
        <v>0</v>
      </c>
      <c r="M52" s="153">
        <f t="shared" si="5"/>
        <v>0</v>
      </c>
      <c r="N52" s="153">
        <f t="shared" si="5"/>
        <v>0</v>
      </c>
      <c r="O52" s="153">
        <f t="shared" si="5"/>
        <v>0</v>
      </c>
      <c r="P52" s="153">
        <f t="shared" si="5"/>
        <v>0</v>
      </c>
      <c r="Q52" s="153">
        <f t="shared" si="6"/>
        <v>0</v>
      </c>
      <c r="R52" s="153">
        <f t="shared" si="6"/>
        <v>0</v>
      </c>
      <c r="S52" s="153">
        <f t="shared" si="6"/>
        <v>0</v>
      </c>
      <c r="T52" s="153">
        <f t="shared" si="6"/>
        <v>0</v>
      </c>
      <c r="U52" s="153">
        <f t="shared" si="6"/>
        <v>0</v>
      </c>
      <c r="V52" s="153">
        <f t="shared" si="6"/>
        <v>0</v>
      </c>
      <c r="W52" s="153">
        <f t="shared" si="6"/>
        <v>0</v>
      </c>
      <c r="X52" s="153">
        <f t="shared" si="6"/>
        <v>0</v>
      </c>
      <c r="Y52" s="153">
        <f t="shared" ca="1" si="6"/>
        <v>0</v>
      </c>
      <c r="Z52" s="153">
        <f t="shared" ca="1" si="6"/>
        <v>0</v>
      </c>
      <c r="AA52" s="154">
        <f t="shared" ca="1" si="6"/>
        <v>27.975931830067911</v>
      </c>
      <c r="AD52" s="170">
        <f ca="1"/>
        <v>243.16951959091449</v>
      </c>
      <c r="AE52" s="157">
        <v>2260</v>
      </c>
      <c r="AF52" s="152">
        <f>IF(G$33&gt;=$F52,$AD52-SUM($G52:G52),0)</f>
        <v>0</v>
      </c>
      <c r="AG52" s="153">
        <f>IF(H$33&gt;=$F52,$AD52-SUM($G52:H52),0)</f>
        <v>0</v>
      </c>
      <c r="AH52" s="153">
        <f>IF(I$33&gt;=$F52,$AD52-SUM($G52:I52),0)</f>
        <v>0</v>
      </c>
      <c r="AI52" s="153">
        <f>IF(J$33&gt;=$F52,$AD52-SUM($G52:J52),0)</f>
        <v>0</v>
      </c>
      <c r="AJ52" s="153">
        <f>IF(K$33&gt;=$F52,$AD52-SUM($G52:K52),0)</f>
        <v>0</v>
      </c>
      <c r="AK52" s="153">
        <f>IF(L$33&gt;=$F52,$AD52-SUM($G52:L52),0)</f>
        <v>0</v>
      </c>
      <c r="AL52" s="153">
        <f>IF(M$33&gt;=$F52,$AD52-SUM($G52:M52),0)</f>
        <v>0</v>
      </c>
      <c r="AM52" s="153">
        <f>IF(N$33&gt;=$F52,$AD52-SUM($G52:N52),0)</f>
        <v>0</v>
      </c>
      <c r="AN52" s="153">
        <f>IF(O$33&gt;=$F52,$AD52-SUM($G52:O52),0)</f>
        <v>0</v>
      </c>
      <c r="AO52" s="153">
        <f>IF(P$33&gt;=$F52,$AD52-SUM($G52:P52),0)</f>
        <v>0</v>
      </c>
      <c r="AP52" s="153">
        <f>IF(Q$33&gt;=$F52,$AD52-SUM($G52:Q52),0)</f>
        <v>0</v>
      </c>
      <c r="AQ52" s="153">
        <f>IF(R$33&gt;=$F52,$AD52-SUM($G52:R52),0)</f>
        <v>0</v>
      </c>
      <c r="AR52" s="153">
        <f>IF(S$33&gt;=$F52,$AD52-SUM($G52:S52),0)</f>
        <v>0</v>
      </c>
      <c r="AS52" s="153">
        <f>IF(T$33&gt;=$F52,$AD52-SUM($G52:T52),0)</f>
        <v>0</v>
      </c>
      <c r="AT52" s="153">
        <f>IF(U$33&gt;=$F52,$AD52-SUM($G52:U52),0)</f>
        <v>0</v>
      </c>
      <c r="AU52" s="153">
        <f>IF(V$33&gt;=$F52,$AD52-SUM($G52:V52),0)</f>
        <v>0</v>
      </c>
      <c r="AV52" s="153">
        <f>IF(W$33&gt;=$F52,$AD52-SUM($G52:W52),0)</f>
        <v>0</v>
      </c>
      <c r="AW52" s="153">
        <f>IF(X$33&gt;=$F52,$AD52-SUM($G52:X52),0)</f>
        <v>0</v>
      </c>
      <c r="AX52" s="153">
        <f ca="1">IF(Y$33&gt;=$F52,$AD52-SUM($G52:Y52),0)</f>
        <v>243.16951959091449</v>
      </c>
      <c r="AY52" s="153">
        <f ca="1">IF(Z$33&gt;=$F52,$AD52-SUM($G52:Z52),0)</f>
        <v>243.16951959091449</v>
      </c>
      <c r="AZ52" s="154">
        <f ca="1">IF(AA$33&gt;=$F52,$AD52-SUM($G52:AA52),0)</f>
        <v>215.19358776084658</v>
      </c>
    </row>
    <row r="53" spans="2:52" x14ac:dyDescent="0.3">
      <c r="D53" s="177">
        <f t="shared" ca="1" si="3"/>
        <v>5302.416291368987</v>
      </c>
      <c r="E53" s="170">
        <f t="shared" ca="1" si="4"/>
        <v>243.15158284257768</v>
      </c>
      <c r="F53" s="157">
        <v>2270</v>
      </c>
      <c r="G53" s="152">
        <f t="shared" si="5"/>
        <v>0</v>
      </c>
      <c r="H53" s="153">
        <f t="shared" si="5"/>
        <v>0</v>
      </c>
      <c r="I53" s="153">
        <f t="shared" si="5"/>
        <v>0</v>
      </c>
      <c r="J53" s="153">
        <f t="shared" si="5"/>
        <v>0</v>
      </c>
      <c r="K53" s="153">
        <f t="shared" si="5"/>
        <v>0</v>
      </c>
      <c r="L53" s="153">
        <f t="shared" si="5"/>
        <v>0</v>
      </c>
      <c r="M53" s="153">
        <f t="shared" si="5"/>
        <v>0</v>
      </c>
      <c r="N53" s="153">
        <f t="shared" si="5"/>
        <v>0</v>
      </c>
      <c r="O53" s="153">
        <f t="shared" si="5"/>
        <v>0</v>
      </c>
      <c r="P53" s="153">
        <f t="shared" si="5"/>
        <v>0</v>
      </c>
      <c r="Q53" s="153">
        <f t="shared" si="6"/>
        <v>0</v>
      </c>
      <c r="R53" s="153">
        <f t="shared" si="6"/>
        <v>0</v>
      </c>
      <c r="S53" s="153">
        <f t="shared" si="6"/>
        <v>0</v>
      </c>
      <c r="T53" s="153">
        <f t="shared" si="6"/>
        <v>0</v>
      </c>
      <c r="U53" s="153">
        <f t="shared" si="6"/>
        <v>0</v>
      </c>
      <c r="V53" s="153">
        <f t="shared" si="6"/>
        <v>0</v>
      </c>
      <c r="W53" s="153">
        <f t="shared" si="6"/>
        <v>0</v>
      </c>
      <c r="X53" s="153">
        <f t="shared" si="6"/>
        <v>0</v>
      </c>
      <c r="Y53" s="153">
        <f t="shared" si="6"/>
        <v>0</v>
      </c>
      <c r="Z53" s="153">
        <f t="shared" ca="1" si="6"/>
        <v>0</v>
      </c>
      <c r="AA53" s="154">
        <f t="shared" ca="1" si="6"/>
        <v>0</v>
      </c>
      <c r="AD53" s="170">
        <f ca="1"/>
        <v>243.15158284257768</v>
      </c>
      <c r="AE53" s="157">
        <v>2270</v>
      </c>
      <c r="AF53" s="152">
        <f>IF(G$33&gt;=$F53,$AD53-SUM($G53:G53),0)</f>
        <v>0</v>
      </c>
      <c r="AG53" s="153">
        <f>IF(H$33&gt;=$F53,$AD53-SUM($G53:H53),0)</f>
        <v>0</v>
      </c>
      <c r="AH53" s="153">
        <f>IF(I$33&gt;=$F53,$AD53-SUM($G53:I53),0)</f>
        <v>0</v>
      </c>
      <c r="AI53" s="153">
        <f>IF(J$33&gt;=$F53,$AD53-SUM($G53:J53),0)</f>
        <v>0</v>
      </c>
      <c r="AJ53" s="153">
        <f>IF(K$33&gt;=$F53,$AD53-SUM($G53:K53),0)</f>
        <v>0</v>
      </c>
      <c r="AK53" s="153">
        <f>IF(L$33&gt;=$F53,$AD53-SUM($G53:L53),0)</f>
        <v>0</v>
      </c>
      <c r="AL53" s="153">
        <f>IF(M$33&gt;=$F53,$AD53-SUM($G53:M53),0)</f>
        <v>0</v>
      </c>
      <c r="AM53" s="153">
        <f>IF(N$33&gt;=$F53,$AD53-SUM($G53:N53),0)</f>
        <v>0</v>
      </c>
      <c r="AN53" s="153">
        <f>IF(O$33&gt;=$F53,$AD53-SUM($G53:O53),0)</f>
        <v>0</v>
      </c>
      <c r="AO53" s="153">
        <f>IF(P$33&gt;=$F53,$AD53-SUM($G53:P53),0)</f>
        <v>0</v>
      </c>
      <c r="AP53" s="153">
        <f>IF(Q$33&gt;=$F53,$AD53-SUM($G53:Q53),0)</f>
        <v>0</v>
      </c>
      <c r="AQ53" s="153">
        <f>IF(R$33&gt;=$F53,$AD53-SUM($G53:R53),0)</f>
        <v>0</v>
      </c>
      <c r="AR53" s="153">
        <f>IF(S$33&gt;=$F53,$AD53-SUM($G53:S53),0)</f>
        <v>0</v>
      </c>
      <c r="AS53" s="153">
        <f>IF(T$33&gt;=$F53,$AD53-SUM($G53:T53),0)</f>
        <v>0</v>
      </c>
      <c r="AT53" s="153">
        <f>IF(U$33&gt;=$F53,$AD53-SUM($G53:U53),0)</f>
        <v>0</v>
      </c>
      <c r="AU53" s="153">
        <f>IF(V$33&gt;=$F53,$AD53-SUM($G53:V53),0)</f>
        <v>0</v>
      </c>
      <c r="AV53" s="153">
        <f>IF(W$33&gt;=$F53,$AD53-SUM($G53:W53),0)</f>
        <v>0</v>
      </c>
      <c r="AW53" s="153">
        <f>IF(X$33&gt;=$F53,$AD53-SUM($G53:X53),0)</f>
        <v>0</v>
      </c>
      <c r="AX53" s="153">
        <f>IF(Y$33&gt;=$F53,$AD53-SUM($G53:Y53),0)</f>
        <v>0</v>
      </c>
      <c r="AY53" s="153">
        <f ca="1">IF(Z$33&gt;=$F53,$AD53-SUM($G53:Z53),0)</f>
        <v>243.15158284257768</v>
      </c>
      <c r="AZ53" s="154">
        <f ca="1">IF(AA$33&gt;=$F53,$AD53-SUM($G53:AA53),0)</f>
        <v>243.15158284257768</v>
      </c>
    </row>
    <row r="54" spans="2:52" ht="15" thickBot="1" x14ac:dyDescent="0.35">
      <c r="D54" s="181">
        <f t="shared" ca="1" si="3"/>
        <v>5545.5520274974806</v>
      </c>
      <c r="E54" s="174">
        <f t="shared" ca="1" si="4"/>
        <v>243.1357361284937</v>
      </c>
      <c r="F54" s="158">
        <v>2280</v>
      </c>
      <c r="G54" s="155">
        <f t="shared" si="5"/>
        <v>0</v>
      </c>
      <c r="H54" s="148">
        <f t="shared" si="5"/>
        <v>0</v>
      </c>
      <c r="I54" s="148">
        <f t="shared" si="5"/>
        <v>0</v>
      </c>
      <c r="J54" s="148">
        <f t="shared" si="5"/>
        <v>0</v>
      </c>
      <c r="K54" s="148">
        <f t="shared" si="5"/>
        <v>0</v>
      </c>
      <c r="L54" s="148">
        <f t="shared" si="5"/>
        <v>0</v>
      </c>
      <c r="M54" s="148">
        <f t="shared" si="5"/>
        <v>0</v>
      </c>
      <c r="N54" s="148">
        <f t="shared" si="5"/>
        <v>0</v>
      </c>
      <c r="O54" s="148">
        <f t="shared" si="5"/>
        <v>0</v>
      </c>
      <c r="P54" s="148">
        <f t="shared" si="5"/>
        <v>0</v>
      </c>
      <c r="Q54" s="148">
        <f t="shared" si="6"/>
        <v>0</v>
      </c>
      <c r="R54" s="148">
        <f t="shared" si="6"/>
        <v>0</v>
      </c>
      <c r="S54" s="148">
        <f t="shared" si="6"/>
        <v>0</v>
      </c>
      <c r="T54" s="148">
        <f t="shared" si="6"/>
        <v>0</v>
      </c>
      <c r="U54" s="148">
        <f t="shared" si="6"/>
        <v>0</v>
      </c>
      <c r="V54" s="148">
        <f t="shared" si="6"/>
        <v>0</v>
      </c>
      <c r="W54" s="148">
        <f t="shared" si="6"/>
        <v>0</v>
      </c>
      <c r="X54" s="148">
        <f t="shared" si="6"/>
        <v>0</v>
      </c>
      <c r="Y54" s="148">
        <f t="shared" si="6"/>
        <v>0</v>
      </c>
      <c r="Z54" s="148">
        <f t="shared" si="6"/>
        <v>0</v>
      </c>
      <c r="AA54" s="156">
        <f t="shared" ca="1" si="6"/>
        <v>0</v>
      </c>
      <c r="AD54" s="174">
        <f ca="1"/>
        <v>243.1357361284937</v>
      </c>
      <c r="AE54" s="158">
        <v>2280</v>
      </c>
      <c r="AF54" s="155">
        <f>IF(G$33&gt;=$F54,$AD54-SUM($G54:G54),0)</f>
        <v>0</v>
      </c>
      <c r="AG54" s="148">
        <f>IF(H$33&gt;=$F54,$AD54-SUM($G54:H54),0)</f>
        <v>0</v>
      </c>
      <c r="AH54" s="148">
        <f>IF(I$33&gt;=$F54,$AD54-SUM($G54:I54),0)</f>
        <v>0</v>
      </c>
      <c r="AI54" s="148">
        <f>IF(J$33&gt;=$F54,$AD54-SUM($G54:J54),0)</f>
        <v>0</v>
      </c>
      <c r="AJ54" s="148">
        <f>IF(K$33&gt;=$F54,$AD54-SUM($G54:K54),0)</f>
        <v>0</v>
      </c>
      <c r="AK54" s="148">
        <f>IF(L$33&gt;=$F54,$AD54-SUM($G54:L54),0)</f>
        <v>0</v>
      </c>
      <c r="AL54" s="148">
        <f>IF(M$33&gt;=$F54,$AD54-SUM($G54:M54),0)</f>
        <v>0</v>
      </c>
      <c r="AM54" s="148">
        <f>IF(N$33&gt;=$F54,$AD54-SUM($G54:N54),0)</f>
        <v>0</v>
      </c>
      <c r="AN54" s="148">
        <f>IF(O$33&gt;=$F54,$AD54-SUM($G54:O54),0)</f>
        <v>0</v>
      </c>
      <c r="AO54" s="148">
        <f>IF(P$33&gt;=$F54,$AD54-SUM($G54:P54),0)</f>
        <v>0</v>
      </c>
      <c r="AP54" s="148">
        <f>IF(Q$33&gt;=$F54,$AD54-SUM($G54:Q54),0)</f>
        <v>0</v>
      </c>
      <c r="AQ54" s="148">
        <f>IF(R$33&gt;=$F54,$AD54-SUM($G54:R54),0)</f>
        <v>0</v>
      </c>
      <c r="AR54" s="148">
        <f>IF(S$33&gt;=$F54,$AD54-SUM($G54:S54),0)</f>
        <v>0</v>
      </c>
      <c r="AS54" s="148">
        <f>IF(T$33&gt;=$F54,$AD54-SUM($G54:T54),0)</f>
        <v>0</v>
      </c>
      <c r="AT54" s="148">
        <f>IF(U$33&gt;=$F54,$AD54-SUM($G54:U54),0)</f>
        <v>0</v>
      </c>
      <c r="AU54" s="148">
        <f>IF(V$33&gt;=$F54,$AD54-SUM($G54:V54),0)</f>
        <v>0</v>
      </c>
      <c r="AV54" s="148">
        <f>IF(W$33&gt;=$F54,$AD54-SUM($G54:W54),0)</f>
        <v>0</v>
      </c>
      <c r="AW54" s="148">
        <f>IF(X$33&gt;=$F54,$AD54-SUM($G54:X54),0)</f>
        <v>0</v>
      </c>
      <c r="AX54" s="148">
        <f>IF(Y$33&gt;=$F54,$AD54-SUM($G54:Y54),0)</f>
        <v>0</v>
      </c>
      <c r="AY54" s="148">
        <f>IF(Z$33&gt;=$F54,$AD54-SUM($G54:Z54),0)</f>
        <v>0</v>
      </c>
      <c r="AZ54" s="156">
        <f ca="1">IF(AA$33&gt;=$F54,$AD54-SUM($G54:AA54),0)</f>
        <v>243.1357361284937</v>
      </c>
    </row>
    <row r="55" spans="2:52" ht="15" thickTop="1" x14ac:dyDescent="0.3">
      <c r="D55" s="177"/>
      <c r="E55" s="170">
        <f ca="1">SUM(E33:E54)</f>
        <v>5545.5520274974806</v>
      </c>
      <c r="F55" s="105" t="s">
        <v>75</v>
      </c>
      <c r="G55" s="173">
        <f>SUM(G34:G54)</f>
        <v>0</v>
      </c>
      <c r="H55" s="173">
        <f t="shared" ref="H55:AA55" ca="1" si="7">SUM(H34:H54)</f>
        <v>0</v>
      </c>
      <c r="I55" s="173">
        <f t="shared" ca="1" si="7"/>
        <v>115.04703334995268</v>
      </c>
      <c r="J55" s="173">
        <f t="shared" ca="1" si="7"/>
        <v>257.84901175190595</v>
      </c>
      <c r="K55" s="173">
        <f t="shared" ca="1" si="7"/>
        <v>284.46963744020627</v>
      </c>
      <c r="L55" s="173">
        <f t="shared" ca="1" si="7"/>
        <v>253.43285446030012</v>
      </c>
      <c r="M55" s="173">
        <f t="shared" ca="1" si="7"/>
        <v>233.22502569721109</v>
      </c>
      <c r="N55" s="173">
        <f t="shared" ca="1" si="7"/>
        <v>236.43168616608435</v>
      </c>
      <c r="O55" s="173">
        <f t="shared" ca="1" si="7"/>
        <v>244.34022719940486</v>
      </c>
      <c r="P55" s="173">
        <f t="shared" ca="1" si="7"/>
        <v>246.59476623408443</v>
      </c>
      <c r="Q55" s="173">
        <f t="shared" ca="1" si="7"/>
        <v>243.02159458052387</v>
      </c>
      <c r="R55" s="173">
        <f t="shared" ca="1" si="7"/>
        <v>242.52029070408301</v>
      </c>
      <c r="S55" s="173">
        <f t="shared" ca="1" si="7"/>
        <v>243.00827740427542</v>
      </c>
      <c r="T55" s="173">
        <f t="shared" ca="1" si="7"/>
        <v>243.36281532888057</v>
      </c>
      <c r="U55" s="173">
        <f t="shared" ca="1" si="7"/>
        <v>243.31537564992644</v>
      </c>
      <c r="V55" s="173">
        <f t="shared" ca="1" si="7"/>
        <v>243.17493936259291</v>
      </c>
      <c r="W55" s="173">
        <f t="shared" ca="1" si="7"/>
        <v>243.13915767592087</v>
      </c>
      <c r="X55" s="173">
        <f t="shared" ca="1" si="7"/>
        <v>243.16249593014194</v>
      </c>
      <c r="Y55" s="173">
        <f t="shared" ca="1" si="7"/>
        <v>243.16951959091449</v>
      </c>
      <c r="Z55" s="173">
        <f t="shared" ca="1" si="7"/>
        <v>243.15158284257768</v>
      </c>
      <c r="AA55" s="173">
        <f t="shared" ca="1" si="7"/>
        <v>243.1357361284937</v>
      </c>
      <c r="AD55" s="170">
        <f ca="1">SUM(AD33:AD54)</f>
        <v>5545.5520274974806</v>
      </c>
      <c r="AE55" s="157" t="s">
        <v>75</v>
      </c>
      <c r="AF55" s="173">
        <f>SUM(AF34:AF54)</f>
        <v>1000</v>
      </c>
      <c r="AG55" s="173">
        <f t="shared" ref="AG55:AZ55" ca="1" si="8">SUM(AG34:AG54)</f>
        <v>1000</v>
      </c>
      <c r="AH55" s="173">
        <f t="shared" ca="1" si="8"/>
        <v>1000</v>
      </c>
      <c r="AI55" s="173">
        <f t="shared" ca="1" si="8"/>
        <v>1000</v>
      </c>
      <c r="AJ55" s="173">
        <f t="shared" ca="1" si="8"/>
        <v>1000</v>
      </c>
      <c r="AK55" s="173">
        <f t="shared" ca="1" si="8"/>
        <v>1000</v>
      </c>
      <c r="AL55" s="173">
        <f t="shared" ca="1" si="8"/>
        <v>1000</v>
      </c>
      <c r="AM55" s="173">
        <f t="shared" ca="1" si="8"/>
        <v>1000</v>
      </c>
      <c r="AN55" s="173">
        <f t="shared" ca="1" si="8"/>
        <v>1000</v>
      </c>
      <c r="AO55" s="173">
        <f t="shared" ca="1" si="8"/>
        <v>1000.0000000000001</v>
      </c>
      <c r="AP55" s="173">
        <f t="shared" ca="1" si="8"/>
        <v>1000</v>
      </c>
      <c r="AQ55" s="173">
        <f t="shared" ca="1" si="8"/>
        <v>1000</v>
      </c>
      <c r="AR55" s="173">
        <f t="shared" ca="1" si="8"/>
        <v>1000.0000000000001</v>
      </c>
      <c r="AS55" s="173">
        <f t="shared" ca="1" si="8"/>
        <v>1000.0000000000002</v>
      </c>
      <c r="AT55" s="173">
        <f t="shared" ca="1" si="8"/>
        <v>1000</v>
      </c>
      <c r="AU55" s="173">
        <f t="shared" ca="1" si="8"/>
        <v>1000.0000000000001</v>
      </c>
      <c r="AV55" s="173">
        <f t="shared" ca="1" si="8"/>
        <v>1000.0000000000001</v>
      </c>
      <c r="AW55" s="173">
        <f t="shared" ca="1" si="8"/>
        <v>1000.0000000000001</v>
      </c>
      <c r="AX55" s="173">
        <f t="shared" ca="1" si="8"/>
        <v>1000.0000000000002</v>
      </c>
      <c r="AY55" s="173">
        <f t="shared" ca="1" si="8"/>
        <v>1000</v>
      </c>
      <c r="AZ55" s="173">
        <f t="shared" ca="1" si="8"/>
        <v>1000.0000000000001</v>
      </c>
    </row>
    <row r="56" spans="2:52" x14ac:dyDescent="0.3">
      <c r="D56" s="106"/>
      <c r="E56" s="163"/>
      <c r="AD56" s="163"/>
      <c r="AE56" s="106"/>
    </row>
    <row r="57" spans="2:52" x14ac:dyDescent="0.3">
      <c r="D57" s="106"/>
      <c r="AD57" s="106"/>
      <c r="AE57" s="106"/>
    </row>
    <row r="58" spans="2:52" x14ac:dyDescent="0.3">
      <c r="D58" s="106"/>
      <c r="AD58" s="106"/>
      <c r="AE58" s="106"/>
    </row>
    <row r="59" spans="2:52" x14ac:dyDescent="0.3">
      <c r="D59" s="106"/>
      <c r="AD59" s="106"/>
      <c r="AE59" s="106"/>
    </row>
    <row r="60" spans="2:52" x14ac:dyDescent="0.3">
      <c r="D60" s="106"/>
      <c r="AD60" s="106"/>
      <c r="AE60" s="106"/>
    </row>
    <row r="61" spans="2:52" x14ac:dyDescent="0.3">
      <c r="D61" s="106"/>
      <c r="AD61" s="106"/>
      <c r="AE61" s="106"/>
    </row>
    <row r="62" spans="2:52" x14ac:dyDescent="0.3">
      <c r="D62" s="106"/>
      <c r="E62" s="170"/>
      <c r="F62" s="105"/>
      <c r="G62" s="106" t="s">
        <v>76</v>
      </c>
      <c r="H62" s="173"/>
      <c r="I62" s="173"/>
      <c r="J62" s="173"/>
      <c r="K62" s="173"/>
      <c r="L62" s="173"/>
      <c r="M62" s="173"/>
      <c r="N62" s="173"/>
      <c r="O62" s="173"/>
      <c r="P62" s="173"/>
      <c r="Q62" s="173"/>
      <c r="R62" s="173"/>
      <c r="S62" s="173"/>
      <c r="T62" s="173"/>
      <c r="U62" s="173"/>
      <c r="V62" s="173"/>
      <c r="W62" s="173"/>
      <c r="X62" s="173"/>
      <c r="Y62" s="173"/>
      <c r="Z62" s="173"/>
      <c r="AA62" s="173"/>
      <c r="AD62" s="106"/>
      <c r="AE62" s="106"/>
      <c r="AF62" s="106" t="s">
        <v>80</v>
      </c>
    </row>
    <row r="63" spans="2:52" x14ac:dyDescent="0.3">
      <c r="B63" s="234" t="s">
        <v>90</v>
      </c>
      <c r="C63" s="235"/>
      <c r="D63" s="234" t="s">
        <v>86</v>
      </c>
      <c r="E63" s="235"/>
      <c r="G63" s="106" t="s">
        <v>85</v>
      </c>
      <c r="AD63" s="106"/>
      <c r="AE63" s="106"/>
      <c r="AF63" s="106" t="s">
        <v>82</v>
      </c>
    </row>
    <row r="64" spans="2:52" x14ac:dyDescent="0.3">
      <c r="B64" s="106" t="s">
        <v>4</v>
      </c>
      <c r="C64" s="163" t="s">
        <v>87</v>
      </c>
      <c r="D64" s="106" t="s">
        <v>4</v>
      </c>
      <c r="E64" s="163" t="s">
        <v>87</v>
      </c>
      <c r="F64" s="106" t="s">
        <v>73</v>
      </c>
      <c r="G64" s="106">
        <v>2080</v>
      </c>
      <c r="H64" s="106">
        <v>2090</v>
      </c>
      <c r="I64" s="106">
        <v>2100</v>
      </c>
      <c r="J64" s="106">
        <v>2110</v>
      </c>
      <c r="K64" s="106">
        <v>2120</v>
      </c>
      <c r="L64" s="106">
        <v>2130</v>
      </c>
      <c r="M64" s="106">
        <v>2140</v>
      </c>
      <c r="N64" s="106">
        <v>2150</v>
      </c>
      <c r="O64" s="106">
        <v>2160</v>
      </c>
      <c r="P64" s="106">
        <v>2170</v>
      </c>
      <c r="Q64" s="106">
        <v>2180</v>
      </c>
      <c r="R64" s="106">
        <v>2190</v>
      </c>
      <c r="S64" s="106">
        <v>2200</v>
      </c>
      <c r="T64" s="106">
        <v>2210</v>
      </c>
      <c r="U64" s="106">
        <v>2220</v>
      </c>
      <c r="V64" s="106">
        <v>2230</v>
      </c>
      <c r="W64" s="106">
        <v>2240</v>
      </c>
      <c r="X64" s="106">
        <v>2250</v>
      </c>
      <c r="Y64" s="106">
        <v>2260</v>
      </c>
      <c r="Z64" s="106">
        <v>2270</v>
      </c>
      <c r="AA64" s="106">
        <v>2280</v>
      </c>
      <c r="AD64" s="163" t="s">
        <v>74</v>
      </c>
      <c r="AE64" s="106" t="s">
        <v>73</v>
      </c>
      <c r="AF64" s="106">
        <v>2080</v>
      </c>
      <c r="AG64" s="106">
        <v>2090</v>
      </c>
      <c r="AH64" s="106">
        <v>2100</v>
      </c>
      <c r="AI64" s="106">
        <v>2110</v>
      </c>
      <c r="AJ64" s="106">
        <v>2120</v>
      </c>
      <c r="AK64" s="106">
        <v>2130</v>
      </c>
      <c r="AL64" s="106">
        <v>2140</v>
      </c>
      <c r="AM64" s="106">
        <v>2150</v>
      </c>
      <c r="AN64" s="106">
        <v>2160</v>
      </c>
      <c r="AO64" s="106">
        <v>2170</v>
      </c>
      <c r="AP64" s="106">
        <v>2180</v>
      </c>
      <c r="AQ64" s="106">
        <v>2190</v>
      </c>
      <c r="AR64" s="106">
        <v>2200</v>
      </c>
      <c r="AS64" s="106">
        <v>2210</v>
      </c>
      <c r="AT64" s="106">
        <v>2220</v>
      </c>
      <c r="AU64" s="106">
        <v>2230</v>
      </c>
      <c r="AV64" s="106">
        <v>2240</v>
      </c>
      <c r="AW64" s="106">
        <v>2250</v>
      </c>
      <c r="AX64" s="106">
        <v>2260</v>
      </c>
      <c r="AY64" s="106">
        <v>2270</v>
      </c>
      <c r="AZ64" s="106">
        <v>2280</v>
      </c>
    </row>
    <row r="65" spans="2:52" x14ac:dyDescent="0.3">
      <c r="B65" s="177">
        <f>C65</f>
        <v>0</v>
      </c>
      <c r="C65" s="182">
        <f>E34-E65</f>
        <v>0</v>
      </c>
      <c r="D65" s="177">
        <f>E65</f>
        <v>1000</v>
      </c>
      <c r="E65" s="170">
        <f>$H$12</f>
        <v>1000</v>
      </c>
      <c r="F65" s="157">
        <v>2080</v>
      </c>
      <c r="G65" s="149">
        <f t="shared" ref="G65:P74" si="9">IF(G$33&gt;=$F65,$E65*INDEX($F$10:$Z$10,MATCH(G$64-$F65,$F$9:$Z$9,0)),0)</f>
        <v>0</v>
      </c>
      <c r="H65" s="150">
        <f t="shared" si="9"/>
        <v>0</v>
      </c>
      <c r="I65" s="150">
        <f t="shared" si="9"/>
        <v>0</v>
      </c>
      <c r="J65" s="150">
        <f t="shared" si="9"/>
        <v>0</v>
      </c>
      <c r="K65" s="150">
        <f t="shared" si="9"/>
        <v>0</v>
      </c>
      <c r="L65" s="150">
        <f t="shared" si="9"/>
        <v>0</v>
      </c>
      <c r="M65" s="150">
        <f t="shared" si="9"/>
        <v>115.04703334995268</v>
      </c>
      <c r="N65" s="150">
        <f t="shared" si="9"/>
        <v>257.84901175190595</v>
      </c>
      <c r="O65" s="150">
        <f t="shared" si="9"/>
        <v>271.23381755758112</v>
      </c>
      <c r="P65" s="150">
        <f t="shared" si="9"/>
        <v>194.10332675175238</v>
      </c>
      <c r="Q65" s="150">
        <f t="shared" ref="Q65:AA74" si="10">IF(Q$33&gt;=$F65,$E65*INDEX($F$10:$Z$10,MATCH(Q$64-$F65,$F$9:$Z$9,0)),0)</f>
        <v>102.8068789159622</v>
      </c>
      <c r="R65" s="150">
        <f t="shared" si="10"/>
        <v>41.65638950257167</v>
      </c>
      <c r="S65" s="150">
        <f t="shared" si="10"/>
        <v>13.126205671847179</v>
      </c>
      <c r="T65" s="150">
        <f t="shared" si="10"/>
        <v>4</v>
      </c>
      <c r="U65" s="150">
        <f t="shared" si="10"/>
        <v>0</v>
      </c>
      <c r="V65" s="150">
        <f t="shared" si="10"/>
        <v>0</v>
      </c>
      <c r="W65" s="150">
        <f t="shared" si="10"/>
        <v>0</v>
      </c>
      <c r="X65" s="150">
        <f t="shared" si="10"/>
        <v>0</v>
      </c>
      <c r="Y65" s="150">
        <f t="shared" si="10"/>
        <v>0</v>
      </c>
      <c r="Z65" s="150">
        <f t="shared" si="10"/>
        <v>0</v>
      </c>
      <c r="AA65" s="151">
        <f t="shared" si="10"/>
        <v>0</v>
      </c>
      <c r="AD65" s="170">
        <f t="array" ref="AD65:AD85">E65:E85</f>
        <v>1000</v>
      </c>
      <c r="AE65" s="157">
        <v>2080</v>
      </c>
      <c r="AF65" s="149">
        <f>IF(G$33&gt;=$F65,$AD65-SUM($G65:G65),0)</f>
        <v>1000</v>
      </c>
      <c r="AG65" s="150">
        <f>IF(H$33&gt;=$F65,$AD65-SUM($G65:H65),0)</f>
        <v>1000</v>
      </c>
      <c r="AH65" s="150">
        <f>IF(I$33&gt;=$F65,$AD65-SUM($G65:I65),0)</f>
        <v>1000</v>
      </c>
      <c r="AI65" s="150">
        <f>IF(J$33&gt;=$F65,$AD65-SUM($G65:J65),0)</f>
        <v>1000</v>
      </c>
      <c r="AJ65" s="150">
        <f>IF(K$33&gt;=$F65,$AD65-SUM($G65:K65),0)</f>
        <v>1000</v>
      </c>
      <c r="AK65" s="150">
        <f>IF(L$33&gt;=$F65,$AD65-SUM($G65:L65),0)</f>
        <v>1000</v>
      </c>
      <c r="AL65" s="150">
        <f>IF(M$33&gt;=$F65,$AD65-SUM($G65:M65),0)</f>
        <v>884.9529666500473</v>
      </c>
      <c r="AM65" s="150">
        <f>IF(N$33&gt;=$F65,$AD65-SUM($G65:N65),0)</f>
        <v>627.10395489814141</v>
      </c>
      <c r="AN65" s="150">
        <f>IF(O$33&gt;=$F65,$AD65-SUM($G65:O65),0)</f>
        <v>355.87013734056018</v>
      </c>
      <c r="AO65" s="150">
        <f>IF(P$33&gt;=$F65,$AD65-SUM($G65:P65),0)</f>
        <v>161.76681058880786</v>
      </c>
      <c r="AP65" s="150">
        <f>IF(Q$33&gt;=$F65,$AD65-SUM($G65:Q65),0)</f>
        <v>58.959931672845642</v>
      </c>
      <c r="AQ65" s="150">
        <f>IF(R$33&gt;=$F65,$AD65-SUM($G65:R65),0)</f>
        <v>17.303542170274</v>
      </c>
      <c r="AR65" s="150">
        <f>IF(S$33&gt;=$F65,$AD65-SUM($G65:S65),0)</f>
        <v>4.1773364984268255</v>
      </c>
      <c r="AS65" s="150">
        <f>IF(T$33&gt;=$F65,$AD65-SUM($G65:T65),0)</f>
        <v>0.17733649842682553</v>
      </c>
      <c r="AT65" s="150">
        <f>IF(U$33&gt;=$F65,$AD65-SUM($G65:U65),0)</f>
        <v>0.17733649842682553</v>
      </c>
      <c r="AU65" s="150">
        <f>IF(V$33&gt;=$F65,$AD65-SUM($G65:V65),0)</f>
        <v>0.17733649842682553</v>
      </c>
      <c r="AV65" s="150">
        <f>IF(W$33&gt;=$F65,$AD65-SUM($G65:W65),0)</f>
        <v>0.17733649842682553</v>
      </c>
      <c r="AW65" s="150">
        <f>IF(X$33&gt;=$F65,$AD65-SUM($G65:X65),0)</f>
        <v>0.17733649842682553</v>
      </c>
      <c r="AX65" s="150">
        <f>IF(Y$33&gt;=$F65,$AD65-SUM($G65:Y65),0)</f>
        <v>0.17733649842682553</v>
      </c>
      <c r="AY65" s="150">
        <f>IF(Z$33&gt;=$F65,$AD65-SUM($G65:Z65),0)</f>
        <v>0.17733649842682553</v>
      </c>
      <c r="AZ65" s="151">
        <f>IF(AA$33&gt;=$F65,$AD65-SUM($G65:AA65),0)</f>
        <v>0.17733649842682553</v>
      </c>
    </row>
    <row r="66" spans="2:52" x14ac:dyDescent="0.3">
      <c r="B66" s="177">
        <f ca="1">B65+C66</f>
        <v>0</v>
      </c>
      <c r="C66" s="182">
        <f t="shared" ref="C66:C85" ca="1" si="11">E35-E66</f>
        <v>0</v>
      </c>
      <c r="D66" s="177">
        <f ca="1">D65+E66</f>
        <v>1000</v>
      </c>
      <c r="E66" s="170">
        <f ca="1">_xlfn.XLOOKUP(F66,$G$64:$AA$64,$G$86:$AA$86)</f>
        <v>0</v>
      </c>
      <c r="F66" s="157">
        <v>2090</v>
      </c>
      <c r="G66" s="152">
        <f t="shared" si="9"/>
        <v>0</v>
      </c>
      <c r="H66" s="153">
        <f t="shared" ca="1" si="9"/>
        <v>0</v>
      </c>
      <c r="I66" s="153">
        <f t="shared" ca="1" si="9"/>
        <v>0</v>
      </c>
      <c r="J66" s="153">
        <f t="shared" ca="1" si="9"/>
        <v>0</v>
      </c>
      <c r="K66" s="153">
        <f t="shared" ca="1" si="9"/>
        <v>0</v>
      </c>
      <c r="L66" s="153">
        <f t="shared" ca="1" si="9"/>
        <v>0</v>
      </c>
      <c r="M66" s="153">
        <f t="shared" ca="1" si="9"/>
        <v>0</v>
      </c>
      <c r="N66" s="153">
        <f t="shared" ca="1" si="9"/>
        <v>0</v>
      </c>
      <c r="O66" s="153">
        <f t="shared" ca="1" si="9"/>
        <v>0</v>
      </c>
      <c r="P66" s="153">
        <f t="shared" ca="1" si="9"/>
        <v>0</v>
      </c>
      <c r="Q66" s="153">
        <f t="shared" ca="1" si="10"/>
        <v>0</v>
      </c>
      <c r="R66" s="153">
        <f t="shared" ca="1" si="10"/>
        <v>0</v>
      </c>
      <c r="S66" s="153">
        <f t="shared" ca="1" si="10"/>
        <v>0</v>
      </c>
      <c r="T66" s="153">
        <f t="shared" ca="1" si="10"/>
        <v>0</v>
      </c>
      <c r="U66" s="153">
        <f t="shared" ca="1" si="10"/>
        <v>0</v>
      </c>
      <c r="V66" s="153">
        <f t="shared" ca="1" si="10"/>
        <v>0</v>
      </c>
      <c r="W66" s="153">
        <f t="shared" ca="1" si="10"/>
        <v>0</v>
      </c>
      <c r="X66" s="153">
        <f t="shared" ca="1" si="10"/>
        <v>0</v>
      </c>
      <c r="Y66" s="153">
        <f t="shared" ca="1" si="10"/>
        <v>0</v>
      </c>
      <c r="Z66" s="153">
        <f t="shared" ca="1" si="10"/>
        <v>0</v>
      </c>
      <c r="AA66" s="154">
        <f t="shared" ca="1" si="10"/>
        <v>0</v>
      </c>
      <c r="AD66" s="170">
        <f ca="1"/>
        <v>0</v>
      </c>
      <c r="AE66" s="157">
        <v>2090</v>
      </c>
      <c r="AF66" s="152">
        <f>IF(G$33&gt;=$F66,$AD66-SUM($G66:G66),0)</f>
        <v>0</v>
      </c>
      <c r="AG66" s="153">
        <f ca="1">IF(H$33&gt;=$F66,$AD66-SUM($G66:H66),0)</f>
        <v>0</v>
      </c>
      <c r="AH66" s="153">
        <f ca="1">IF(I$33&gt;=$F66,$AD66-SUM($G66:I66),0)</f>
        <v>0</v>
      </c>
      <c r="AI66" s="153">
        <f ca="1">IF(J$33&gt;=$F66,$AD66-SUM($G66:J66),0)</f>
        <v>0</v>
      </c>
      <c r="AJ66" s="153">
        <f ca="1">IF(K$33&gt;=$F66,$AD66-SUM($G66:K66),0)</f>
        <v>0</v>
      </c>
      <c r="AK66" s="153">
        <f ca="1">IF(L$33&gt;=$F66,$AD66-SUM($G66:L66),0)</f>
        <v>0</v>
      </c>
      <c r="AL66" s="153">
        <f ca="1">IF(M$33&gt;=$F66,$AD66-SUM($G66:M66),0)</f>
        <v>0</v>
      </c>
      <c r="AM66" s="153">
        <f ca="1">IF(N$33&gt;=$F66,$AD66-SUM($G66:N66),0)</f>
        <v>0</v>
      </c>
      <c r="AN66" s="153">
        <f ca="1">IF(O$33&gt;=$F66,$AD66-SUM($G66:O66),0)</f>
        <v>0</v>
      </c>
      <c r="AO66" s="153">
        <f ca="1">IF(P$33&gt;=$F66,$AD66-SUM($G66:P66),0)</f>
        <v>0</v>
      </c>
      <c r="AP66" s="153">
        <f ca="1">IF(Q$33&gt;=$F66,$AD66-SUM($G66:Q66),0)</f>
        <v>0</v>
      </c>
      <c r="AQ66" s="153">
        <f ca="1">IF(R$33&gt;=$F66,$AD66-SUM($G66:R66),0)</f>
        <v>0</v>
      </c>
      <c r="AR66" s="153">
        <f ca="1">IF(S$33&gt;=$F66,$AD66-SUM($G66:S66),0)</f>
        <v>0</v>
      </c>
      <c r="AS66" s="153">
        <f ca="1">IF(T$33&gt;=$F66,$AD66-SUM($G66:T66),0)</f>
        <v>0</v>
      </c>
      <c r="AT66" s="153">
        <f ca="1">IF(U$33&gt;=$F66,$AD66-SUM($G66:U66),0)</f>
        <v>0</v>
      </c>
      <c r="AU66" s="153">
        <f ca="1">IF(V$33&gt;=$F66,$AD66-SUM($G66:V66),0)</f>
        <v>0</v>
      </c>
      <c r="AV66" s="153">
        <f ca="1">IF(W$33&gt;=$F66,$AD66-SUM($G66:W66),0)</f>
        <v>0</v>
      </c>
      <c r="AW66" s="153">
        <f ca="1">IF(X$33&gt;=$F66,$AD66-SUM($G66:X66),0)</f>
        <v>0</v>
      </c>
      <c r="AX66" s="153">
        <f ca="1">IF(Y$33&gt;=$F66,$AD66-SUM($G66:Y66),0)</f>
        <v>0</v>
      </c>
      <c r="AY66" s="153">
        <f ca="1">IF(Z$33&gt;=$F66,$AD66-SUM($G66:Z66),0)</f>
        <v>0</v>
      </c>
      <c r="AZ66" s="154">
        <f ca="1">IF(AA$33&gt;=$F66,$AD66-SUM($G66:AA66),0)</f>
        <v>0</v>
      </c>
    </row>
    <row r="67" spans="2:52" x14ac:dyDescent="0.3">
      <c r="B67" s="177">
        <f t="shared" ref="B67:D85" ca="1" si="12">B66+C67</f>
        <v>115.04703334995268</v>
      </c>
      <c r="C67" s="182">
        <f t="shared" ca="1" si="11"/>
        <v>115.04703334995268</v>
      </c>
      <c r="D67" s="177">
        <f t="shared" ca="1" si="12"/>
        <v>1000</v>
      </c>
      <c r="E67" s="170">
        <f t="shared" ref="E67:E85" ca="1" si="13">_xlfn.XLOOKUP(F67,$G$64:$AA$64,$G$86:$AA$86)</f>
        <v>0</v>
      </c>
      <c r="F67" s="157">
        <v>2100</v>
      </c>
      <c r="G67" s="152">
        <f t="shared" si="9"/>
        <v>0</v>
      </c>
      <c r="H67" s="153">
        <f t="shared" si="9"/>
        <v>0</v>
      </c>
      <c r="I67" s="153">
        <f t="shared" ca="1" si="9"/>
        <v>0</v>
      </c>
      <c r="J67" s="153">
        <f t="shared" ca="1" si="9"/>
        <v>0</v>
      </c>
      <c r="K67" s="153">
        <f t="shared" ca="1" si="9"/>
        <v>0</v>
      </c>
      <c r="L67" s="153">
        <f t="shared" ca="1" si="9"/>
        <v>0</v>
      </c>
      <c r="M67" s="153">
        <f t="shared" ca="1" si="9"/>
        <v>0</v>
      </c>
      <c r="N67" s="153">
        <f t="shared" ca="1" si="9"/>
        <v>0</v>
      </c>
      <c r="O67" s="153">
        <f t="shared" ca="1" si="9"/>
        <v>0</v>
      </c>
      <c r="P67" s="153">
        <f t="shared" ca="1" si="9"/>
        <v>0</v>
      </c>
      <c r="Q67" s="153">
        <f t="shared" ca="1" si="10"/>
        <v>0</v>
      </c>
      <c r="R67" s="153">
        <f t="shared" ca="1" si="10"/>
        <v>0</v>
      </c>
      <c r="S67" s="153">
        <f t="shared" ca="1" si="10"/>
        <v>0</v>
      </c>
      <c r="T67" s="153">
        <f t="shared" ca="1" si="10"/>
        <v>0</v>
      </c>
      <c r="U67" s="153">
        <f t="shared" ca="1" si="10"/>
        <v>0</v>
      </c>
      <c r="V67" s="153">
        <f t="shared" ca="1" si="10"/>
        <v>0</v>
      </c>
      <c r="W67" s="153">
        <f t="shared" ca="1" si="10"/>
        <v>0</v>
      </c>
      <c r="X67" s="153">
        <f t="shared" ca="1" si="10"/>
        <v>0</v>
      </c>
      <c r="Y67" s="153">
        <f t="shared" ca="1" si="10"/>
        <v>0</v>
      </c>
      <c r="Z67" s="153">
        <f t="shared" ca="1" si="10"/>
        <v>0</v>
      </c>
      <c r="AA67" s="154">
        <f t="shared" ca="1" si="10"/>
        <v>0</v>
      </c>
      <c r="AD67" s="170">
        <f ca="1"/>
        <v>0</v>
      </c>
      <c r="AE67" s="157">
        <v>2100</v>
      </c>
      <c r="AF67" s="152">
        <f>IF(G$33&gt;=$F67,$AD67-SUM($G67:G67),0)</f>
        <v>0</v>
      </c>
      <c r="AG67" s="153">
        <f>IF(H$33&gt;=$F67,$AD67-SUM($G67:H67),0)</f>
        <v>0</v>
      </c>
      <c r="AH67" s="153">
        <f ca="1">IF(I$33&gt;=$F67,$AD67-SUM($G67:I67),0)</f>
        <v>0</v>
      </c>
      <c r="AI67" s="153">
        <f ca="1">IF(J$33&gt;=$F67,$AD67-SUM($G67:J67),0)</f>
        <v>0</v>
      </c>
      <c r="AJ67" s="153">
        <f ca="1">IF(K$33&gt;=$F67,$AD67-SUM($G67:K67),0)</f>
        <v>0</v>
      </c>
      <c r="AK67" s="153">
        <f ca="1">IF(L$33&gt;=$F67,$AD67-SUM($G67:L67),0)</f>
        <v>0</v>
      </c>
      <c r="AL67" s="153">
        <f ca="1">IF(M$33&gt;=$F67,$AD67-SUM($G67:M67),0)</f>
        <v>0</v>
      </c>
      <c r="AM67" s="153">
        <f ca="1">IF(N$33&gt;=$F67,$AD67-SUM($G67:N67),0)</f>
        <v>0</v>
      </c>
      <c r="AN67" s="153">
        <f ca="1">IF(O$33&gt;=$F67,$AD67-SUM($G67:O67),0)</f>
        <v>0</v>
      </c>
      <c r="AO67" s="153">
        <f ca="1">IF(P$33&gt;=$F67,$AD67-SUM($G67:P67),0)</f>
        <v>0</v>
      </c>
      <c r="AP67" s="153">
        <f ca="1">IF(Q$33&gt;=$F67,$AD67-SUM($G67:Q67),0)</f>
        <v>0</v>
      </c>
      <c r="AQ67" s="153">
        <f ca="1">IF(R$33&gt;=$F67,$AD67-SUM($G67:R67),0)</f>
        <v>0</v>
      </c>
      <c r="AR67" s="153">
        <f ca="1">IF(S$33&gt;=$F67,$AD67-SUM($G67:S67),0)</f>
        <v>0</v>
      </c>
      <c r="AS67" s="153">
        <f ca="1">IF(T$33&gt;=$F67,$AD67-SUM($G67:T67),0)</f>
        <v>0</v>
      </c>
      <c r="AT67" s="153">
        <f ca="1">IF(U$33&gt;=$F67,$AD67-SUM($G67:U67),0)</f>
        <v>0</v>
      </c>
      <c r="AU67" s="153">
        <f ca="1">IF(V$33&gt;=$F67,$AD67-SUM($G67:V67),0)</f>
        <v>0</v>
      </c>
      <c r="AV67" s="153">
        <f ca="1">IF(W$33&gt;=$F67,$AD67-SUM($G67:W67),0)</f>
        <v>0</v>
      </c>
      <c r="AW67" s="153">
        <f ca="1">IF(X$33&gt;=$F67,$AD67-SUM($G67:X67),0)</f>
        <v>0</v>
      </c>
      <c r="AX67" s="153">
        <f ca="1">IF(Y$33&gt;=$F67,$AD67-SUM($G67:Y67),0)</f>
        <v>0</v>
      </c>
      <c r="AY67" s="153">
        <f ca="1">IF(Z$33&gt;=$F67,$AD67-SUM($G67:Z67),0)</f>
        <v>0</v>
      </c>
      <c r="AZ67" s="154">
        <f ca="1">IF(AA$33&gt;=$F67,$AD67-SUM($G67:AA67),0)</f>
        <v>0</v>
      </c>
    </row>
    <row r="68" spans="2:52" x14ac:dyDescent="0.3">
      <c r="B68" s="177">
        <f t="shared" ca="1" si="12"/>
        <v>372.89604510185865</v>
      </c>
      <c r="C68" s="182">
        <f t="shared" ca="1" si="11"/>
        <v>257.84901175190595</v>
      </c>
      <c r="D68" s="177">
        <f t="shared" ca="1" si="12"/>
        <v>1000</v>
      </c>
      <c r="E68" s="170">
        <f t="shared" ca="1" si="13"/>
        <v>0</v>
      </c>
      <c r="F68" s="157">
        <v>2110</v>
      </c>
      <c r="G68" s="152">
        <f t="shared" si="9"/>
        <v>0</v>
      </c>
      <c r="H68" s="153">
        <f t="shared" si="9"/>
        <v>0</v>
      </c>
      <c r="I68" s="153">
        <f t="shared" si="9"/>
        <v>0</v>
      </c>
      <c r="J68" s="153">
        <f t="shared" ca="1" si="9"/>
        <v>0</v>
      </c>
      <c r="K68" s="153">
        <f t="shared" ca="1" si="9"/>
        <v>0</v>
      </c>
      <c r="L68" s="153">
        <f t="shared" ca="1" si="9"/>
        <v>0</v>
      </c>
      <c r="M68" s="153">
        <f t="shared" ca="1" si="9"/>
        <v>0</v>
      </c>
      <c r="N68" s="153">
        <f t="shared" ca="1" si="9"/>
        <v>0</v>
      </c>
      <c r="O68" s="153">
        <f t="shared" ca="1" si="9"/>
        <v>0</v>
      </c>
      <c r="P68" s="153">
        <f t="shared" ca="1" si="9"/>
        <v>0</v>
      </c>
      <c r="Q68" s="153">
        <f t="shared" ca="1" si="10"/>
        <v>0</v>
      </c>
      <c r="R68" s="153">
        <f t="shared" ca="1" si="10"/>
        <v>0</v>
      </c>
      <c r="S68" s="153">
        <f t="shared" ca="1" si="10"/>
        <v>0</v>
      </c>
      <c r="T68" s="153">
        <f t="shared" ca="1" si="10"/>
        <v>0</v>
      </c>
      <c r="U68" s="153">
        <f t="shared" ca="1" si="10"/>
        <v>0</v>
      </c>
      <c r="V68" s="153">
        <f t="shared" ca="1" si="10"/>
        <v>0</v>
      </c>
      <c r="W68" s="153">
        <f t="shared" ca="1" si="10"/>
        <v>0</v>
      </c>
      <c r="X68" s="153">
        <f t="shared" ca="1" si="10"/>
        <v>0</v>
      </c>
      <c r="Y68" s="153">
        <f t="shared" ca="1" si="10"/>
        <v>0</v>
      </c>
      <c r="Z68" s="153">
        <f t="shared" ca="1" si="10"/>
        <v>0</v>
      </c>
      <c r="AA68" s="154">
        <f t="shared" ca="1" si="10"/>
        <v>0</v>
      </c>
      <c r="AD68" s="170">
        <f ca="1"/>
        <v>0</v>
      </c>
      <c r="AE68" s="157">
        <v>2110</v>
      </c>
      <c r="AF68" s="152">
        <f>IF(G$33&gt;=$F68,$AD68-SUM($G68:G68),0)</f>
        <v>0</v>
      </c>
      <c r="AG68" s="153">
        <f>IF(H$33&gt;=$F68,$AD68-SUM($G68:H68),0)</f>
        <v>0</v>
      </c>
      <c r="AH68" s="153">
        <f>IF(I$33&gt;=$F68,$AD68-SUM($G68:I68),0)</f>
        <v>0</v>
      </c>
      <c r="AI68" s="153">
        <f ca="1">IF(J$33&gt;=$F68,$AD68-SUM($G68:J68),0)</f>
        <v>0</v>
      </c>
      <c r="AJ68" s="153">
        <f ca="1">IF(K$33&gt;=$F68,$AD68-SUM($G68:K68),0)</f>
        <v>0</v>
      </c>
      <c r="AK68" s="153">
        <f ca="1">IF(L$33&gt;=$F68,$AD68-SUM($G68:L68),0)</f>
        <v>0</v>
      </c>
      <c r="AL68" s="153">
        <f ca="1">IF(M$33&gt;=$F68,$AD68-SUM($G68:M68),0)</f>
        <v>0</v>
      </c>
      <c r="AM68" s="153">
        <f ca="1">IF(N$33&gt;=$F68,$AD68-SUM($G68:N68),0)</f>
        <v>0</v>
      </c>
      <c r="AN68" s="153">
        <f ca="1">IF(O$33&gt;=$F68,$AD68-SUM($G68:O68),0)</f>
        <v>0</v>
      </c>
      <c r="AO68" s="153">
        <f ca="1">IF(P$33&gt;=$F68,$AD68-SUM($G68:P68),0)</f>
        <v>0</v>
      </c>
      <c r="AP68" s="153">
        <f ca="1">IF(Q$33&gt;=$F68,$AD68-SUM($G68:Q68),0)</f>
        <v>0</v>
      </c>
      <c r="AQ68" s="153">
        <f ca="1">IF(R$33&gt;=$F68,$AD68-SUM($G68:R68),0)</f>
        <v>0</v>
      </c>
      <c r="AR68" s="153">
        <f ca="1">IF(S$33&gt;=$F68,$AD68-SUM($G68:S68),0)</f>
        <v>0</v>
      </c>
      <c r="AS68" s="153">
        <f ca="1">IF(T$33&gt;=$F68,$AD68-SUM($G68:T68),0)</f>
        <v>0</v>
      </c>
      <c r="AT68" s="153">
        <f ca="1">IF(U$33&gt;=$F68,$AD68-SUM($G68:U68),0)</f>
        <v>0</v>
      </c>
      <c r="AU68" s="153">
        <f ca="1">IF(V$33&gt;=$F68,$AD68-SUM($G68:V68),0)</f>
        <v>0</v>
      </c>
      <c r="AV68" s="153">
        <f ca="1">IF(W$33&gt;=$F68,$AD68-SUM($G68:W68),0)</f>
        <v>0</v>
      </c>
      <c r="AW68" s="153">
        <f ca="1">IF(X$33&gt;=$F68,$AD68-SUM($G68:X68),0)</f>
        <v>0</v>
      </c>
      <c r="AX68" s="153">
        <f ca="1">IF(Y$33&gt;=$F68,$AD68-SUM($G68:Y68),0)</f>
        <v>0</v>
      </c>
      <c r="AY68" s="153">
        <f ca="1">IF(Z$33&gt;=$F68,$AD68-SUM($G68:Z68),0)</f>
        <v>0</v>
      </c>
      <c r="AZ68" s="154">
        <f ca="1">IF(AA$33&gt;=$F68,$AD68-SUM($G68:AA68),0)</f>
        <v>0</v>
      </c>
    </row>
    <row r="69" spans="2:52" x14ac:dyDescent="0.3">
      <c r="B69" s="177">
        <f t="shared" ca="1" si="12"/>
        <v>657.36568254206486</v>
      </c>
      <c r="C69" s="182">
        <f t="shared" ca="1" si="11"/>
        <v>284.46963744020627</v>
      </c>
      <c r="D69" s="177">
        <f t="shared" ca="1" si="12"/>
        <v>1000</v>
      </c>
      <c r="E69" s="170">
        <f t="shared" ca="1" si="13"/>
        <v>0</v>
      </c>
      <c r="F69" s="157">
        <v>2120</v>
      </c>
      <c r="G69" s="152">
        <f t="shared" si="9"/>
        <v>0</v>
      </c>
      <c r="H69" s="153">
        <f t="shared" si="9"/>
        <v>0</v>
      </c>
      <c r="I69" s="153">
        <f t="shared" si="9"/>
        <v>0</v>
      </c>
      <c r="J69" s="153">
        <f t="shared" si="9"/>
        <v>0</v>
      </c>
      <c r="K69" s="153">
        <f t="shared" ca="1" si="9"/>
        <v>0</v>
      </c>
      <c r="L69" s="153">
        <f t="shared" ca="1" si="9"/>
        <v>0</v>
      </c>
      <c r="M69" s="153">
        <f t="shared" ca="1" si="9"/>
        <v>0</v>
      </c>
      <c r="N69" s="153">
        <f t="shared" ca="1" si="9"/>
        <v>0</v>
      </c>
      <c r="O69" s="153">
        <f t="shared" ca="1" si="9"/>
        <v>0</v>
      </c>
      <c r="P69" s="153">
        <f t="shared" ca="1" si="9"/>
        <v>0</v>
      </c>
      <c r="Q69" s="153">
        <f t="shared" ca="1" si="10"/>
        <v>0</v>
      </c>
      <c r="R69" s="153">
        <f t="shared" ca="1" si="10"/>
        <v>0</v>
      </c>
      <c r="S69" s="153">
        <f t="shared" ca="1" si="10"/>
        <v>0</v>
      </c>
      <c r="T69" s="153">
        <f t="shared" ca="1" si="10"/>
        <v>0</v>
      </c>
      <c r="U69" s="153">
        <f t="shared" ca="1" si="10"/>
        <v>0</v>
      </c>
      <c r="V69" s="153">
        <f t="shared" ca="1" si="10"/>
        <v>0</v>
      </c>
      <c r="W69" s="153">
        <f t="shared" ca="1" si="10"/>
        <v>0</v>
      </c>
      <c r="X69" s="153">
        <f t="shared" ca="1" si="10"/>
        <v>0</v>
      </c>
      <c r="Y69" s="153">
        <f t="shared" ca="1" si="10"/>
        <v>0</v>
      </c>
      <c r="Z69" s="153">
        <f t="shared" ca="1" si="10"/>
        <v>0</v>
      </c>
      <c r="AA69" s="154">
        <f t="shared" ca="1" si="10"/>
        <v>0</v>
      </c>
      <c r="AD69" s="170">
        <f ca="1"/>
        <v>0</v>
      </c>
      <c r="AE69" s="157">
        <v>2120</v>
      </c>
      <c r="AF69" s="152">
        <f>IF(G$33&gt;=$F69,$AD69-SUM($G69:G69),0)</f>
        <v>0</v>
      </c>
      <c r="AG69" s="153">
        <f>IF(H$33&gt;=$F69,$AD69-SUM($G69:H69),0)</f>
        <v>0</v>
      </c>
      <c r="AH69" s="153">
        <f>IF(I$33&gt;=$F69,$AD69-SUM($G69:I69),0)</f>
        <v>0</v>
      </c>
      <c r="AI69" s="153">
        <f>IF(J$33&gt;=$F69,$AD69-SUM($G69:J69),0)</f>
        <v>0</v>
      </c>
      <c r="AJ69" s="153">
        <f ca="1">IF(K$33&gt;=$F69,$AD69-SUM($G69:K69),0)</f>
        <v>0</v>
      </c>
      <c r="AK69" s="153">
        <f ca="1">IF(L$33&gt;=$F69,$AD69-SUM($G69:L69),0)</f>
        <v>0</v>
      </c>
      <c r="AL69" s="153">
        <f ca="1">IF(M$33&gt;=$F69,$AD69-SUM($G69:M69),0)</f>
        <v>0</v>
      </c>
      <c r="AM69" s="153">
        <f ca="1">IF(N$33&gt;=$F69,$AD69-SUM($G69:N69),0)</f>
        <v>0</v>
      </c>
      <c r="AN69" s="153">
        <f ca="1">IF(O$33&gt;=$F69,$AD69-SUM($G69:O69),0)</f>
        <v>0</v>
      </c>
      <c r="AO69" s="153">
        <f ca="1">IF(P$33&gt;=$F69,$AD69-SUM($G69:P69),0)</f>
        <v>0</v>
      </c>
      <c r="AP69" s="153">
        <f ca="1">IF(Q$33&gt;=$F69,$AD69-SUM($G69:Q69),0)</f>
        <v>0</v>
      </c>
      <c r="AQ69" s="153">
        <f ca="1">IF(R$33&gt;=$F69,$AD69-SUM($G69:R69),0)</f>
        <v>0</v>
      </c>
      <c r="AR69" s="153">
        <f ca="1">IF(S$33&gt;=$F69,$AD69-SUM($G69:S69),0)</f>
        <v>0</v>
      </c>
      <c r="AS69" s="153">
        <f ca="1">IF(T$33&gt;=$F69,$AD69-SUM($G69:T69),0)</f>
        <v>0</v>
      </c>
      <c r="AT69" s="153">
        <f ca="1">IF(U$33&gt;=$F69,$AD69-SUM($G69:U69),0)</f>
        <v>0</v>
      </c>
      <c r="AU69" s="153">
        <f ca="1">IF(V$33&gt;=$F69,$AD69-SUM($G69:V69),0)</f>
        <v>0</v>
      </c>
      <c r="AV69" s="153">
        <f ca="1">IF(W$33&gt;=$F69,$AD69-SUM($G69:W69),0)</f>
        <v>0</v>
      </c>
      <c r="AW69" s="153">
        <f ca="1">IF(X$33&gt;=$F69,$AD69-SUM($G69:X69),0)</f>
        <v>0</v>
      </c>
      <c r="AX69" s="153">
        <f ca="1">IF(Y$33&gt;=$F69,$AD69-SUM($G69:Y69),0)</f>
        <v>0</v>
      </c>
      <c r="AY69" s="153">
        <f ca="1">IF(Z$33&gt;=$F69,$AD69-SUM($G69:Z69),0)</f>
        <v>0</v>
      </c>
      <c r="AZ69" s="154">
        <f ca="1">IF(AA$33&gt;=$F69,$AD69-SUM($G69:AA69),0)</f>
        <v>0</v>
      </c>
    </row>
    <row r="70" spans="2:52" x14ac:dyDescent="0.3">
      <c r="B70" s="177">
        <f t="shared" ca="1" si="12"/>
        <v>910.79853700236504</v>
      </c>
      <c r="C70" s="182">
        <f t="shared" ca="1" si="11"/>
        <v>253.43285446030012</v>
      </c>
      <c r="D70" s="177">
        <f t="shared" ca="1" si="12"/>
        <v>1000</v>
      </c>
      <c r="E70" s="170">
        <f t="shared" ca="1" si="13"/>
        <v>0</v>
      </c>
      <c r="F70" s="157">
        <v>2130</v>
      </c>
      <c r="G70" s="152">
        <f t="shared" si="9"/>
        <v>0</v>
      </c>
      <c r="H70" s="153">
        <f t="shared" si="9"/>
        <v>0</v>
      </c>
      <c r="I70" s="153">
        <f t="shared" si="9"/>
        <v>0</v>
      </c>
      <c r="J70" s="153">
        <f t="shared" si="9"/>
        <v>0</v>
      </c>
      <c r="K70" s="153">
        <f t="shared" si="9"/>
        <v>0</v>
      </c>
      <c r="L70" s="153">
        <f t="shared" ca="1" si="9"/>
        <v>0</v>
      </c>
      <c r="M70" s="153">
        <f t="shared" ca="1" si="9"/>
        <v>0</v>
      </c>
      <c r="N70" s="153">
        <f t="shared" ca="1" si="9"/>
        <v>0</v>
      </c>
      <c r="O70" s="153">
        <f t="shared" ca="1" si="9"/>
        <v>0</v>
      </c>
      <c r="P70" s="153">
        <f t="shared" ca="1" si="9"/>
        <v>0</v>
      </c>
      <c r="Q70" s="153">
        <f t="shared" ca="1" si="10"/>
        <v>0</v>
      </c>
      <c r="R70" s="153">
        <f t="shared" ca="1" si="10"/>
        <v>0</v>
      </c>
      <c r="S70" s="153">
        <f t="shared" ca="1" si="10"/>
        <v>0</v>
      </c>
      <c r="T70" s="153">
        <f t="shared" ca="1" si="10"/>
        <v>0</v>
      </c>
      <c r="U70" s="153">
        <f t="shared" ca="1" si="10"/>
        <v>0</v>
      </c>
      <c r="V70" s="153">
        <f t="shared" ca="1" si="10"/>
        <v>0</v>
      </c>
      <c r="W70" s="153">
        <f t="shared" ca="1" si="10"/>
        <v>0</v>
      </c>
      <c r="X70" s="153">
        <f t="shared" ca="1" si="10"/>
        <v>0</v>
      </c>
      <c r="Y70" s="153">
        <f t="shared" ca="1" si="10"/>
        <v>0</v>
      </c>
      <c r="Z70" s="153">
        <f t="shared" ca="1" si="10"/>
        <v>0</v>
      </c>
      <c r="AA70" s="154">
        <f t="shared" ca="1" si="10"/>
        <v>0</v>
      </c>
      <c r="AD70" s="170">
        <f ca="1"/>
        <v>0</v>
      </c>
      <c r="AE70" s="157">
        <v>2130</v>
      </c>
      <c r="AF70" s="152">
        <f>IF(G$33&gt;=$F70,$AD70-SUM($G70:G70),0)</f>
        <v>0</v>
      </c>
      <c r="AG70" s="153">
        <f>IF(H$33&gt;=$F70,$AD70-SUM($G70:H70),0)</f>
        <v>0</v>
      </c>
      <c r="AH70" s="153">
        <f>IF(I$33&gt;=$F70,$AD70-SUM($G70:I70),0)</f>
        <v>0</v>
      </c>
      <c r="AI70" s="153">
        <f>IF(J$33&gt;=$F70,$AD70-SUM($G70:J70),0)</f>
        <v>0</v>
      </c>
      <c r="AJ70" s="153">
        <f>IF(K$33&gt;=$F70,$AD70-SUM($G70:K70),0)</f>
        <v>0</v>
      </c>
      <c r="AK70" s="153">
        <f ca="1">IF(L$33&gt;=$F70,$AD70-SUM($G70:L70),0)</f>
        <v>0</v>
      </c>
      <c r="AL70" s="153">
        <f ca="1">IF(M$33&gt;=$F70,$AD70-SUM($G70:M70),0)</f>
        <v>0</v>
      </c>
      <c r="AM70" s="153">
        <f ca="1">IF(N$33&gt;=$F70,$AD70-SUM($G70:N70),0)</f>
        <v>0</v>
      </c>
      <c r="AN70" s="153">
        <f ca="1">IF(O$33&gt;=$F70,$AD70-SUM($G70:O70),0)</f>
        <v>0</v>
      </c>
      <c r="AO70" s="153">
        <f ca="1">IF(P$33&gt;=$F70,$AD70-SUM($G70:P70),0)</f>
        <v>0</v>
      </c>
      <c r="AP70" s="153">
        <f ca="1">IF(Q$33&gt;=$F70,$AD70-SUM($G70:Q70),0)</f>
        <v>0</v>
      </c>
      <c r="AQ70" s="153">
        <f ca="1">IF(R$33&gt;=$F70,$AD70-SUM($G70:R70),0)</f>
        <v>0</v>
      </c>
      <c r="AR70" s="153">
        <f ca="1">IF(S$33&gt;=$F70,$AD70-SUM($G70:S70),0)</f>
        <v>0</v>
      </c>
      <c r="AS70" s="153">
        <f ca="1">IF(T$33&gt;=$F70,$AD70-SUM($G70:T70),0)</f>
        <v>0</v>
      </c>
      <c r="AT70" s="153">
        <f ca="1">IF(U$33&gt;=$F70,$AD70-SUM($G70:U70),0)</f>
        <v>0</v>
      </c>
      <c r="AU70" s="153">
        <f ca="1">IF(V$33&gt;=$F70,$AD70-SUM($G70:V70),0)</f>
        <v>0</v>
      </c>
      <c r="AV70" s="153">
        <f ca="1">IF(W$33&gt;=$F70,$AD70-SUM($G70:W70),0)</f>
        <v>0</v>
      </c>
      <c r="AW70" s="153">
        <f ca="1">IF(X$33&gt;=$F70,$AD70-SUM($G70:X70),0)</f>
        <v>0</v>
      </c>
      <c r="AX70" s="153">
        <f ca="1">IF(Y$33&gt;=$F70,$AD70-SUM($G70:Y70),0)</f>
        <v>0</v>
      </c>
      <c r="AY70" s="153">
        <f ca="1">IF(Z$33&gt;=$F70,$AD70-SUM($G70:Z70),0)</f>
        <v>0</v>
      </c>
      <c r="AZ70" s="154">
        <f ca="1">IF(AA$33&gt;=$F70,$AD70-SUM($G70:AA70),0)</f>
        <v>0</v>
      </c>
    </row>
    <row r="71" spans="2:52" x14ac:dyDescent="0.3">
      <c r="B71" s="177">
        <f t="shared" ca="1" si="12"/>
        <v>1028.9765293496234</v>
      </c>
      <c r="C71" s="182">
        <f t="shared" ca="1" si="11"/>
        <v>118.17799234725841</v>
      </c>
      <c r="D71" s="177">
        <f t="shared" ca="1" si="12"/>
        <v>1115.0470333499527</v>
      </c>
      <c r="E71" s="170">
        <f t="shared" ca="1" si="13"/>
        <v>115.04703334995268</v>
      </c>
      <c r="F71" s="157">
        <v>2140</v>
      </c>
      <c r="G71" s="152">
        <f t="shared" si="9"/>
        <v>0</v>
      </c>
      <c r="H71" s="153">
        <f t="shared" si="9"/>
        <v>0</v>
      </c>
      <c r="I71" s="153">
        <f t="shared" si="9"/>
        <v>0</v>
      </c>
      <c r="J71" s="153">
        <f t="shared" si="9"/>
        <v>0</v>
      </c>
      <c r="K71" s="153">
        <f t="shared" si="9"/>
        <v>0</v>
      </c>
      <c r="L71" s="153">
        <f t="shared" si="9"/>
        <v>0</v>
      </c>
      <c r="M71" s="153">
        <f t="shared" ca="1" si="9"/>
        <v>0</v>
      </c>
      <c r="N71" s="153">
        <f t="shared" ca="1" si="9"/>
        <v>0</v>
      </c>
      <c r="O71" s="153">
        <f t="shared" ca="1" si="9"/>
        <v>0</v>
      </c>
      <c r="P71" s="153">
        <f t="shared" ca="1" si="9"/>
        <v>0</v>
      </c>
      <c r="Q71" s="153">
        <f t="shared" ca="1" si="10"/>
        <v>0</v>
      </c>
      <c r="R71" s="153">
        <f t="shared" ca="1" si="10"/>
        <v>0</v>
      </c>
      <c r="S71" s="153">
        <f t="shared" ca="1" si="10"/>
        <v>13.235819882625126</v>
      </c>
      <c r="T71" s="153">
        <f t="shared" ca="1" si="10"/>
        <v>29.664763854273865</v>
      </c>
      <c r="U71" s="153">
        <f t="shared" ca="1" si="10"/>
        <v>31.204646054182017</v>
      </c>
      <c r="V71" s="153">
        <f t="shared" ca="1" si="10"/>
        <v>22.331011906145619</v>
      </c>
      <c r="W71" s="153">
        <f t="shared" ca="1" si="10"/>
        <v>11.827626427249252</v>
      </c>
      <c r="X71" s="153">
        <f t="shared" ca="1" si="10"/>
        <v>4.7924440323409812</v>
      </c>
      <c r="Y71" s="153">
        <f t="shared" ca="1" si="10"/>
        <v>1.5101310216873405</v>
      </c>
      <c r="Z71" s="153">
        <f t="shared" ca="1" si="10"/>
        <v>0.46018813339981074</v>
      </c>
      <c r="AA71" s="154">
        <f t="shared" ca="1" si="10"/>
        <v>0</v>
      </c>
      <c r="AD71" s="170">
        <f ca="1"/>
        <v>115.04703334995268</v>
      </c>
      <c r="AE71" s="157">
        <v>2140</v>
      </c>
      <c r="AF71" s="152">
        <f>IF(G$33&gt;=$F71,$AD71-SUM($G71:G71),0)</f>
        <v>0</v>
      </c>
      <c r="AG71" s="153">
        <f>IF(H$33&gt;=$F71,$AD71-SUM($G71:H71),0)</f>
        <v>0</v>
      </c>
      <c r="AH71" s="153">
        <f>IF(I$33&gt;=$F71,$AD71-SUM($G71:I71),0)</f>
        <v>0</v>
      </c>
      <c r="AI71" s="153">
        <f>IF(J$33&gt;=$F71,$AD71-SUM($G71:J71),0)</f>
        <v>0</v>
      </c>
      <c r="AJ71" s="153">
        <f>IF(K$33&gt;=$F71,$AD71-SUM($G71:K71),0)</f>
        <v>0</v>
      </c>
      <c r="AK71" s="153">
        <f>IF(L$33&gt;=$F71,$AD71-SUM($G71:L71),0)</f>
        <v>0</v>
      </c>
      <c r="AL71" s="153">
        <f ca="1">IF(M$33&gt;=$F71,$AD71-SUM($G71:M71),0)</f>
        <v>115.04703334995268</v>
      </c>
      <c r="AM71" s="153">
        <f ca="1">IF(N$33&gt;=$F71,$AD71-SUM($G71:N71),0)</f>
        <v>115.04703334995268</v>
      </c>
      <c r="AN71" s="153">
        <f ca="1">IF(O$33&gt;=$F71,$AD71-SUM($G71:O71),0)</f>
        <v>115.04703334995268</v>
      </c>
      <c r="AO71" s="153">
        <f ca="1">IF(P$33&gt;=$F71,$AD71-SUM($G71:P71),0)</f>
        <v>115.04703334995268</v>
      </c>
      <c r="AP71" s="153">
        <f ca="1">IF(Q$33&gt;=$F71,$AD71-SUM($G71:Q71),0)</f>
        <v>115.04703334995268</v>
      </c>
      <c r="AQ71" s="153">
        <f ca="1">IF(R$33&gt;=$F71,$AD71-SUM($G71:R71),0)</f>
        <v>115.04703334995268</v>
      </c>
      <c r="AR71" s="153">
        <f ca="1">IF(S$33&gt;=$F71,$AD71-SUM($G71:S71),0)</f>
        <v>101.81121346732756</v>
      </c>
      <c r="AS71" s="153">
        <f ca="1">IF(T$33&gt;=$F71,$AD71-SUM($G71:T71),0)</f>
        <v>72.14644961305369</v>
      </c>
      <c r="AT71" s="153">
        <f ca="1">IF(U$33&gt;=$F71,$AD71-SUM($G71:U71),0)</f>
        <v>40.941803558871669</v>
      </c>
      <c r="AU71" s="153">
        <f ca="1">IF(V$33&gt;=$F71,$AD71-SUM($G71:V71),0)</f>
        <v>18.61079165272605</v>
      </c>
      <c r="AV71" s="153">
        <f ca="1">IF(W$33&gt;=$F71,$AD71-SUM($G71:W71),0)</f>
        <v>6.7831652254767931</v>
      </c>
      <c r="AW71" s="153">
        <f ca="1">IF(X$33&gt;=$F71,$AD71-SUM($G71:X71),0)</f>
        <v>1.990721193135812</v>
      </c>
      <c r="AX71" s="153">
        <f ca="1">IF(Y$33&gt;=$F71,$AD71-SUM($G71:Y71),0)</f>
        <v>0.48059017144846905</v>
      </c>
      <c r="AY71" s="153">
        <f ca="1">IF(Z$33&gt;=$F71,$AD71-SUM($G71:Z71),0)</f>
        <v>2.0402038048658255E-2</v>
      </c>
      <c r="AZ71" s="154">
        <f ca="1">IF(AA$33&gt;=$F71,$AD71-SUM($G71:AA71),0)</f>
        <v>2.0402038048658255E-2</v>
      </c>
    </row>
    <row r="72" spans="2:52" x14ac:dyDescent="0.3">
      <c r="B72" s="177">
        <f t="shared" ca="1" si="12"/>
        <v>1007.5592037638019</v>
      </c>
      <c r="C72" s="182">
        <f t="shared" ca="1" si="11"/>
        <v>-21.417325585821601</v>
      </c>
      <c r="D72" s="177">
        <f t="shared" ca="1" si="12"/>
        <v>1372.8960451018586</v>
      </c>
      <c r="E72" s="170">
        <f t="shared" ca="1" si="13"/>
        <v>257.84901175190595</v>
      </c>
      <c r="F72" s="157">
        <v>2150</v>
      </c>
      <c r="G72" s="152">
        <f t="shared" si="9"/>
        <v>0</v>
      </c>
      <c r="H72" s="153">
        <f t="shared" si="9"/>
        <v>0</v>
      </c>
      <c r="I72" s="153">
        <f t="shared" si="9"/>
        <v>0</v>
      </c>
      <c r="J72" s="153">
        <f t="shared" si="9"/>
        <v>0</v>
      </c>
      <c r="K72" s="153">
        <f t="shared" si="9"/>
        <v>0</v>
      </c>
      <c r="L72" s="153">
        <f t="shared" si="9"/>
        <v>0</v>
      </c>
      <c r="M72" s="153">
        <f t="shared" si="9"/>
        <v>0</v>
      </c>
      <c r="N72" s="153">
        <f t="shared" ca="1" si="9"/>
        <v>0</v>
      </c>
      <c r="O72" s="153">
        <f t="shared" ca="1" si="9"/>
        <v>0</v>
      </c>
      <c r="P72" s="153">
        <f t="shared" ca="1" si="9"/>
        <v>0</v>
      </c>
      <c r="Q72" s="153">
        <f t="shared" ca="1" si="10"/>
        <v>0</v>
      </c>
      <c r="R72" s="153">
        <f t="shared" ca="1" si="10"/>
        <v>0</v>
      </c>
      <c r="S72" s="153">
        <f t="shared" ca="1" si="10"/>
        <v>0</v>
      </c>
      <c r="T72" s="153">
        <f t="shared" ca="1" si="10"/>
        <v>29.664763854273865</v>
      </c>
      <c r="U72" s="153">
        <f t="shared" ca="1" si="10"/>
        <v>66.486112861434535</v>
      </c>
      <c r="V72" s="153">
        <f t="shared" ca="1" si="10"/>
        <v>69.937371810919046</v>
      </c>
      <c r="W72" s="153">
        <f t="shared" ca="1" si="10"/>
        <v>50.049350980696637</v>
      </c>
      <c r="X72" s="153">
        <f t="shared" ca="1" si="10"/>
        <v>26.50865212977871</v>
      </c>
      <c r="Y72" s="153">
        <f t="shared" ca="1" si="10"/>
        <v>10.741058866390574</v>
      </c>
      <c r="Z72" s="153">
        <f t="shared" ca="1" si="10"/>
        <v>3.3845791605380575</v>
      </c>
      <c r="AA72" s="154">
        <f t="shared" ca="1" si="10"/>
        <v>1.0313960470076238</v>
      </c>
      <c r="AD72" s="170">
        <f ca="1"/>
        <v>257.84901175190595</v>
      </c>
      <c r="AE72" s="157">
        <v>2150</v>
      </c>
      <c r="AF72" s="152">
        <f>IF(G$33&gt;=$F72,$AD72-SUM($G72:G72),0)</f>
        <v>0</v>
      </c>
      <c r="AG72" s="153">
        <f>IF(H$33&gt;=$F72,$AD72-SUM($G72:H72),0)</f>
        <v>0</v>
      </c>
      <c r="AH72" s="153">
        <f>IF(I$33&gt;=$F72,$AD72-SUM($G72:I72),0)</f>
        <v>0</v>
      </c>
      <c r="AI72" s="153">
        <f>IF(J$33&gt;=$F72,$AD72-SUM($G72:J72),0)</f>
        <v>0</v>
      </c>
      <c r="AJ72" s="153">
        <f>IF(K$33&gt;=$F72,$AD72-SUM($G72:K72),0)</f>
        <v>0</v>
      </c>
      <c r="AK72" s="153">
        <f>IF(L$33&gt;=$F72,$AD72-SUM($G72:L72),0)</f>
        <v>0</v>
      </c>
      <c r="AL72" s="153">
        <f>IF(M$33&gt;=$F72,$AD72-SUM($G72:M72),0)</f>
        <v>0</v>
      </c>
      <c r="AM72" s="153">
        <f ca="1">IF(N$33&gt;=$F72,$AD72-SUM($G72:N72),0)</f>
        <v>257.84901175190595</v>
      </c>
      <c r="AN72" s="153">
        <f ca="1">IF(O$33&gt;=$F72,$AD72-SUM($G72:O72),0)</f>
        <v>257.84901175190595</v>
      </c>
      <c r="AO72" s="153">
        <f ca="1">IF(P$33&gt;=$F72,$AD72-SUM($G72:P72),0)</f>
        <v>257.84901175190595</v>
      </c>
      <c r="AP72" s="153">
        <f ca="1">IF(Q$33&gt;=$F72,$AD72-SUM($G72:Q72),0)</f>
        <v>257.84901175190595</v>
      </c>
      <c r="AQ72" s="153">
        <f ca="1">IF(R$33&gt;=$F72,$AD72-SUM($G72:R72),0)</f>
        <v>257.84901175190595</v>
      </c>
      <c r="AR72" s="153">
        <f ca="1">IF(S$33&gt;=$F72,$AD72-SUM($G72:S72),0)</f>
        <v>257.84901175190595</v>
      </c>
      <c r="AS72" s="153">
        <f ca="1">IF(T$33&gt;=$F72,$AD72-SUM($G72:T72),0)</f>
        <v>228.18424789763208</v>
      </c>
      <c r="AT72" s="153">
        <f ca="1">IF(U$33&gt;=$F72,$AD72-SUM($G72:U72),0)</f>
        <v>161.69813503619756</v>
      </c>
      <c r="AU72" s="153">
        <f ca="1">IF(V$33&gt;=$F72,$AD72-SUM($G72:V72),0)</f>
        <v>91.760763225278509</v>
      </c>
      <c r="AV72" s="153">
        <f ca="1">IF(W$33&gt;=$F72,$AD72-SUM($G72:W72),0)</f>
        <v>41.711412244581879</v>
      </c>
      <c r="AW72" s="153">
        <f ca="1">IF(X$33&gt;=$F72,$AD72-SUM($G72:X72),0)</f>
        <v>15.202760114803169</v>
      </c>
      <c r="AX72" s="153">
        <f ca="1">IF(Y$33&gt;=$F72,$AD72-SUM($G72:Y72),0)</f>
        <v>4.4617012484125951</v>
      </c>
      <c r="AY72" s="153">
        <f ca="1">IF(Z$33&gt;=$F72,$AD72-SUM($G72:Z72),0)</f>
        <v>1.0771220878745567</v>
      </c>
      <c r="AZ72" s="154">
        <f ca="1">IF(AA$33&gt;=$F72,$AD72-SUM($G72:AA72),0)</f>
        <v>4.5726040866952644E-2</v>
      </c>
    </row>
    <row r="73" spans="2:52" x14ac:dyDescent="0.3">
      <c r="B73" s="177">
        <f t="shared" ca="1" si="12"/>
        <v>980.66561340562566</v>
      </c>
      <c r="C73" s="182">
        <f t="shared" ca="1" si="11"/>
        <v>-26.893590358176255</v>
      </c>
      <c r="D73" s="177">
        <f t="shared" ca="1" si="12"/>
        <v>1644.1298626594398</v>
      </c>
      <c r="E73" s="170">
        <f t="shared" ca="1" si="13"/>
        <v>271.23381755758112</v>
      </c>
      <c r="F73" s="157">
        <v>2160</v>
      </c>
      <c r="G73" s="152">
        <f t="shared" si="9"/>
        <v>0</v>
      </c>
      <c r="H73" s="153">
        <f t="shared" si="9"/>
        <v>0</v>
      </c>
      <c r="I73" s="153">
        <f t="shared" si="9"/>
        <v>0</v>
      </c>
      <c r="J73" s="153">
        <f t="shared" si="9"/>
        <v>0</v>
      </c>
      <c r="K73" s="153">
        <f t="shared" si="9"/>
        <v>0</v>
      </c>
      <c r="L73" s="153">
        <f t="shared" si="9"/>
        <v>0</v>
      </c>
      <c r="M73" s="153">
        <f t="shared" si="9"/>
        <v>0</v>
      </c>
      <c r="N73" s="153">
        <f t="shared" si="9"/>
        <v>0</v>
      </c>
      <c r="O73" s="153">
        <f t="shared" ca="1" si="9"/>
        <v>0</v>
      </c>
      <c r="P73" s="153">
        <f t="shared" ca="1" si="9"/>
        <v>0</v>
      </c>
      <c r="Q73" s="153">
        <f t="shared" ca="1" si="10"/>
        <v>0</v>
      </c>
      <c r="R73" s="153">
        <f t="shared" ca="1" si="10"/>
        <v>0</v>
      </c>
      <c r="S73" s="153">
        <f t="shared" ca="1" si="10"/>
        <v>0</v>
      </c>
      <c r="T73" s="153">
        <f t="shared" ca="1" si="10"/>
        <v>0</v>
      </c>
      <c r="U73" s="153">
        <f t="shared" ca="1" si="10"/>
        <v>31.204646054182017</v>
      </c>
      <c r="V73" s="153">
        <f t="shared" ca="1" si="10"/>
        <v>69.937371810919046</v>
      </c>
      <c r="W73" s="153">
        <f t="shared" ca="1" si="10"/>
        <v>73.567783786859209</v>
      </c>
      <c r="X73" s="153">
        <f t="shared" ca="1" si="10"/>
        <v>52.647386315504356</v>
      </c>
      <c r="Y73" s="153">
        <f t="shared" ca="1" si="10"/>
        <v>27.884702239556425</v>
      </c>
      <c r="Z73" s="153">
        <f t="shared" ca="1" si="10"/>
        <v>11.298621550448061</v>
      </c>
      <c r="AA73" s="154">
        <f t="shared" ca="1" si="10"/>
        <v>3.560270874421084</v>
      </c>
      <c r="AD73" s="170">
        <f ca="1"/>
        <v>271.23381755758112</v>
      </c>
      <c r="AE73" s="157">
        <v>2160</v>
      </c>
      <c r="AF73" s="152">
        <f>IF(G$33&gt;=$F73,$AD73-SUM($G73:G73),0)</f>
        <v>0</v>
      </c>
      <c r="AG73" s="153">
        <f>IF(H$33&gt;=$F73,$AD73-SUM($G73:H73),0)</f>
        <v>0</v>
      </c>
      <c r="AH73" s="153">
        <f>IF(I$33&gt;=$F73,$AD73-SUM($G73:I73),0)</f>
        <v>0</v>
      </c>
      <c r="AI73" s="153">
        <f>IF(J$33&gt;=$F73,$AD73-SUM($G73:J73),0)</f>
        <v>0</v>
      </c>
      <c r="AJ73" s="153">
        <f>IF(K$33&gt;=$F73,$AD73-SUM($G73:K73),0)</f>
        <v>0</v>
      </c>
      <c r="AK73" s="153">
        <f>IF(L$33&gt;=$F73,$AD73-SUM($G73:L73),0)</f>
        <v>0</v>
      </c>
      <c r="AL73" s="153">
        <f>IF(M$33&gt;=$F73,$AD73-SUM($G73:M73),0)</f>
        <v>0</v>
      </c>
      <c r="AM73" s="153">
        <f>IF(N$33&gt;=$F73,$AD73-SUM($G73:N73),0)</f>
        <v>0</v>
      </c>
      <c r="AN73" s="153">
        <f ca="1">IF(O$33&gt;=$F73,$AD73-SUM($G73:O73),0)</f>
        <v>271.23381755758112</v>
      </c>
      <c r="AO73" s="153">
        <f ca="1">IF(P$33&gt;=$F73,$AD73-SUM($G73:P73),0)</f>
        <v>271.23381755758112</v>
      </c>
      <c r="AP73" s="153">
        <f ca="1">IF(Q$33&gt;=$F73,$AD73-SUM($G73:Q73),0)</f>
        <v>271.23381755758112</v>
      </c>
      <c r="AQ73" s="153">
        <f ca="1">IF(R$33&gt;=$F73,$AD73-SUM($G73:R73),0)</f>
        <v>271.23381755758112</v>
      </c>
      <c r="AR73" s="153">
        <f ca="1">IF(S$33&gt;=$F73,$AD73-SUM($G73:S73),0)</f>
        <v>271.23381755758112</v>
      </c>
      <c r="AS73" s="153">
        <f ca="1">IF(T$33&gt;=$F73,$AD73-SUM($G73:T73),0)</f>
        <v>271.23381755758112</v>
      </c>
      <c r="AT73" s="153">
        <f ca="1">IF(U$33&gt;=$F73,$AD73-SUM($G73:U73),0)</f>
        <v>240.02917150339911</v>
      </c>
      <c r="AU73" s="153">
        <f ca="1">IF(V$33&gt;=$F73,$AD73-SUM($G73:V73),0)</f>
        <v>170.09179969248004</v>
      </c>
      <c r="AV73" s="153">
        <f ca="1">IF(W$33&gt;=$F73,$AD73-SUM($G73:W73),0)</f>
        <v>96.524015905620843</v>
      </c>
      <c r="AW73" s="153">
        <f ca="1">IF(X$33&gt;=$F73,$AD73-SUM($G73:X73),0)</f>
        <v>43.876629590116494</v>
      </c>
      <c r="AX73" s="153">
        <f ca="1">IF(Y$33&gt;=$F73,$AD73-SUM($G73:Y73),0)</f>
        <v>15.991927350560076</v>
      </c>
      <c r="AY73" s="153">
        <f ca="1">IF(Z$33&gt;=$F73,$AD73-SUM($G73:Z73),0)</f>
        <v>4.6933058001120003</v>
      </c>
      <c r="AZ73" s="154">
        <f ca="1">IF(AA$33&gt;=$F73,$AD73-SUM($G73:AA73),0)</f>
        <v>1.1330349256909358</v>
      </c>
    </row>
    <row r="74" spans="2:52" x14ac:dyDescent="0.3">
      <c r="B74" s="177">
        <f t="shared" ca="1" si="12"/>
        <v>1033.1570528879577</v>
      </c>
      <c r="C74" s="182">
        <f t="shared" ca="1" si="11"/>
        <v>52.491439482332055</v>
      </c>
      <c r="D74" s="177">
        <f t="shared" ca="1" si="12"/>
        <v>1838.2331894111921</v>
      </c>
      <c r="E74" s="170">
        <f t="shared" ca="1" si="13"/>
        <v>194.10332675175238</v>
      </c>
      <c r="F74" s="157">
        <v>2170</v>
      </c>
      <c r="G74" s="152">
        <f t="shared" si="9"/>
        <v>0</v>
      </c>
      <c r="H74" s="153">
        <f t="shared" si="9"/>
        <v>0</v>
      </c>
      <c r="I74" s="153">
        <f t="shared" si="9"/>
        <v>0</v>
      </c>
      <c r="J74" s="153">
        <f t="shared" si="9"/>
        <v>0</v>
      </c>
      <c r="K74" s="153">
        <f t="shared" si="9"/>
        <v>0</v>
      </c>
      <c r="L74" s="153">
        <f t="shared" si="9"/>
        <v>0</v>
      </c>
      <c r="M74" s="153">
        <f t="shared" si="9"/>
        <v>0</v>
      </c>
      <c r="N74" s="153">
        <f t="shared" si="9"/>
        <v>0</v>
      </c>
      <c r="O74" s="153">
        <f t="shared" si="9"/>
        <v>0</v>
      </c>
      <c r="P74" s="153">
        <f t="shared" ca="1" si="9"/>
        <v>0</v>
      </c>
      <c r="Q74" s="153">
        <f t="shared" ca="1" si="10"/>
        <v>0</v>
      </c>
      <c r="R74" s="153">
        <f t="shared" ca="1" si="10"/>
        <v>0</v>
      </c>
      <c r="S74" s="153">
        <f t="shared" ca="1" si="10"/>
        <v>0</v>
      </c>
      <c r="T74" s="153">
        <f t="shared" ca="1" si="10"/>
        <v>0</v>
      </c>
      <c r="U74" s="153">
        <f t="shared" ca="1" si="10"/>
        <v>0</v>
      </c>
      <c r="V74" s="153">
        <f t="shared" ca="1" si="10"/>
        <v>22.331011906145619</v>
      </c>
      <c r="W74" s="153">
        <f t="shared" ca="1" si="10"/>
        <v>50.049350980696637</v>
      </c>
      <c r="X74" s="153">
        <f t="shared" ca="1" si="10"/>
        <v>52.647386315504363</v>
      </c>
      <c r="Y74" s="153">
        <f t="shared" ca="1" si="10"/>
        <v>37.676101456097548</v>
      </c>
      <c r="Z74" s="153">
        <f t="shared" ca="1" si="10"/>
        <v>19.955157210552851</v>
      </c>
      <c r="AA74" s="154">
        <f t="shared" ca="1" si="10"/>
        <v>8.0856437829159358</v>
      </c>
      <c r="AD74" s="170">
        <f ca="1"/>
        <v>194.10332675175238</v>
      </c>
      <c r="AE74" s="157">
        <v>2170</v>
      </c>
      <c r="AF74" s="152">
        <f>IF(G$33&gt;=$F74,$AD74-SUM($G74:G74),0)</f>
        <v>0</v>
      </c>
      <c r="AG74" s="153">
        <f>IF(H$33&gt;=$F74,$AD74-SUM($G74:H74),0)</f>
        <v>0</v>
      </c>
      <c r="AH74" s="153">
        <f>IF(I$33&gt;=$F74,$AD74-SUM($G74:I74),0)</f>
        <v>0</v>
      </c>
      <c r="AI74" s="153">
        <f>IF(J$33&gt;=$F74,$AD74-SUM($G74:J74),0)</f>
        <v>0</v>
      </c>
      <c r="AJ74" s="153">
        <f>IF(K$33&gt;=$F74,$AD74-SUM($G74:K74),0)</f>
        <v>0</v>
      </c>
      <c r="AK74" s="153">
        <f>IF(L$33&gt;=$F74,$AD74-SUM($G74:L74),0)</f>
        <v>0</v>
      </c>
      <c r="AL74" s="153">
        <f>IF(M$33&gt;=$F74,$AD74-SUM($G74:M74),0)</f>
        <v>0</v>
      </c>
      <c r="AM74" s="153">
        <f>IF(N$33&gt;=$F74,$AD74-SUM($G74:N74),0)</f>
        <v>0</v>
      </c>
      <c r="AN74" s="153">
        <f>IF(O$33&gt;=$F74,$AD74-SUM($G74:O74),0)</f>
        <v>0</v>
      </c>
      <c r="AO74" s="153">
        <f ca="1">IF(P$33&gt;=$F74,$AD74-SUM($G74:P74),0)</f>
        <v>194.10332675175238</v>
      </c>
      <c r="AP74" s="153">
        <f ca="1">IF(Q$33&gt;=$F74,$AD74-SUM($G74:Q74),0)</f>
        <v>194.10332675175238</v>
      </c>
      <c r="AQ74" s="153">
        <f ca="1">IF(R$33&gt;=$F74,$AD74-SUM($G74:R74),0)</f>
        <v>194.10332675175238</v>
      </c>
      <c r="AR74" s="153">
        <f ca="1">IF(S$33&gt;=$F74,$AD74-SUM($G74:S74),0)</f>
        <v>194.10332675175238</v>
      </c>
      <c r="AS74" s="153">
        <f ca="1">IF(T$33&gt;=$F74,$AD74-SUM($G74:T74),0)</f>
        <v>194.10332675175238</v>
      </c>
      <c r="AT74" s="153">
        <f ca="1">IF(U$33&gt;=$F74,$AD74-SUM($G74:U74),0)</f>
        <v>194.10332675175238</v>
      </c>
      <c r="AU74" s="153">
        <f ca="1">IF(V$33&gt;=$F74,$AD74-SUM($G74:V74),0)</f>
        <v>171.77231484560676</v>
      </c>
      <c r="AV74" s="153">
        <f ca="1">IF(W$33&gt;=$F74,$AD74-SUM($G74:W74),0)</f>
        <v>121.72296386491013</v>
      </c>
      <c r="AW74" s="153">
        <f ca="1">IF(X$33&gt;=$F74,$AD74-SUM($G74:X74),0)</f>
        <v>69.075577549405764</v>
      </c>
      <c r="AX74" s="153">
        <f ca="1">IF(Y$33&gt;=$F74,$AD74-SUM($G74:Y74),0)</f>
        <v>31.399476093308209</v>
      </c>
      <c r="AY74" s="153">
        <f ca="1">IF(Z$33&gt;=$F74,$AD74-SUM($G74:Z74),0)</f>
        <v>11.444318882755368</v>
      </c>
      <c r="AZ74" s="154">
        <f ca="1">IF(AA$33&gt;=$F74,$AD74-SUM($G74:AA74),0)</f>
        <v>3.358675099839445</v>
      </c>
    </row>
    <row r="75" spans="2:52" x14ac:dyDescent="0.3">
      <c r="B75" s="177">
        <f t="shared" ca="1" si="12"/>
        <v>1173.3717685525194</v>
      </c>
      <c r="C75" s="182">
        <f t="shared" ca="1" si="11"/>
        <v>140.21471566456165</v>
      </c>
      <c r="D75" s="177">
        <f t="shared" ca="1" si="12"/>
        <v>1941.0400683271544</v>
      </c>
      <c r="E75" s="170">
        <f t="shared" ca="1" si="13"/>
        <v>102.8068789159622</v>
      </c>
      <c r="F75" s="157">
        <v>2180</v>
      </c>
      <c r="G75" s="152">
        <f t="shared" ref="G75:P85" si="14">IF(G$33&gt;=$F75,$E75*INDEX($F$10:$Z$10,MATCH(G$64-$F75,$F$9:$Z$9,0)),0)</f>
        <v>0</v>
      </c>
      <c r="H75" s="153">
        <f t="shared" si="14"/>
        <v>0</v>
      </c>
      <c r="I75" s="153">
        <f t="shared" si="14"/>
        <v>0</v>
      </c>
      <c r="J75" s="153">
        <f t="shared" si="14"/>
        <v>0</v>
      </c>
      <c r="K75" s="153">
        <f t="shared" si="14"/>
        <v>0</v>
      </c>
      <c r="L75" s="153">
        <f t="shared" si="14"/>
        <v>0</v>
      </c>
      <c r="M75" s="153">
        <f t="shared" si="14"/>
        <v>0</v>
      </c>
      <c r="N75" s="153">
        <f t="shared" si="14"/>
        <v>0</v>
      </c>
      <c r="O75" s="153">
        <f t="shared" si="14"/>
        <v>0</v>
      </c>
      <c r="P75" s="153">
        <f t="shared" si="14"/>
        <v>0</v>
      </c>
      <c r="Q75" s="153">
        <f t="shared" ref="Q75:AA85" ca="1" si="15">IF(Q$33&gt;=$F75,$E75*INDEX($F$10:$Z$10,MATCH(Q$64-$F75,$F$9:$Z$9,0)),0)</f>
        <v>0</v>
      </c>
      <c r="R75" s="153">
        <f t="shared" ca="1" si="15"/>
        <v>0</v>
      </c>
      <c r="S75" s="153">
        <f t="shared" ca="1" si="15"/>
        <v>0</v>
      </c>
      <c r="T75" s="153">
        <f t="shared" ca="1" si="15"/>
        <v>0</v>
      </c>
      <c r="U75" s="153">
        <f t="shared" ca="1" si="15"/>
        <v>0</v>
      </c>
      <c r="V75" s="153">
        <f t="shared" ca="1" si="15"/>
        <v>0</v>
      </c>
      <c r="W75" s="153">
        <f t="shared" ca="1" si="15"/>
        <v>11.827626427249252</v>
      </c>
      <c r="X75" s="153">
        <f t="shared" ca="1" si="15"/>
        <v>26.50865212977871</v>
      </c>
      <c r="Y75" s="153">
        <f t="shared" ca="1" si="15"/>
        <v>27.884702239556425</v>
      </c>
      <c r="Z75" s="153">
        <f t="shared" ca="1" si="15"/>
        <v>19.955157210552855</v>
      </c>
      <c r="AA75" s="154">
        <f t="shared" ca="1" si="15"/>
        <v>10.569254352441313</v>
      </c>
      <c r="AD75" s="170">
        <f ca="1"/>
        <v>102.8068789159622</v>
      </c>
      <c r="AE75" s="157">
        <v>2180</v>
      </c>
      <c r="AF75" s="152">
        <f>IF(G$33&gt;=$F75,$AD75-SUM($G75:G75),0)</f>
        <v>0</v>
      </c>
      <c r="AG75" s="153">
        <f>IF(H$33&gt;=$F75,$AD75-SUM($G75:H75),0)</f>
        <v>0</v>
      </c>
      <c r="AH75" s="153">
        <f>IF(I$33&gt;=$F75,$AD75-SUM($G75:I75),0)</f>
        <v>0</v>
      </c>
      <c r="AI75" s="153">
        <f>IF(J$33&gt;=$F75,$AD75-SUM($G75:J75),0)</f>
        <v>0</v>
      </c>
      <c r="AJ75" s="153">
        <f>IF(K$33&gt;=$F75,$AD75-SUM($G75:K75),0)</f>
        <v>0</v>
      </c>
      <c r="AK75" s="153">
        <f>IF(L$33&gt;=$F75,$AD75-SUM($G75:L75),0)</f>
        <v>0</v>
      </c>
      <c r="AL75" s="153">
        <f>IF(M$33&gt;=$F75,$AD75-SUM($G75:M75),0)</f>
        <v>0</v>
      </c>
      <c r="AM75" s="153">
        <f>IF(N$33&gt;=$F75,$AD75-SUM($G75:N75),0)</f>
        <v>0</v>
      </c>
      <c r="AN75" s="153">
        <f>IF(O$33&gt;=$F75,$AD75-SUM($G75:O75),0)</f>
        <v>0</v>
      </c>
      <c r="AO75" s="153">
        <f>IF(P$33&gt;=$F75,$AD75-SUM($G75:P75),0)</f>
        <v>0</v>
      </c>
      <c r="AP75" s="153">
        <f ca="1">IF(Q$33&gt;=$F75,$AD75-SUM($G75:Q75),0)</f>
        <v>102.8068789159622</v>
      </c>
      <c r="AQ75" s="153">
        <f ca="1">IF(R$33&gt;=$F75,$AD75-SUM($G75:R75),0)</f>
        <v>102.8068789159622</v>
      </c>
      <c r="AR75" s="153">
        <f ca="1">IF(S$33&gt;=$F75,$AD75-SUM($G75:S75),0)</f>
        <v>102.8068789159622</v>
      </c>
      <c r="AS75" s="153">
        <f ca="1">IF(T$33&gt;=$F75,$AD75-SUM($G75:T75),0)</f>
        <v>102.8068789159622</v>
      </c>
      <c r="AT75" s="153">
        <f ca="1">IF(U$33&gt;=$F75,$AD75-SUM($G75:U75),0)</f>
        <v>102.8068789159622</v>
      </c>
      <c r="AU75" s="153">
        <f ca="1">IF(V$33&gt;=$F75,$AD75-SUM($G75:V75),0)</f>
        <v>102.8068789159622</v>
      </c>
      <c r="AV75" s="153">
        <f ca="1">IF(W$33&gt;=$F75,$AD75-SUM($G75:W75),0)</f>
        <v>90.979252488712945</v>
      </c>
      <c r="AW75" s="153">
        <f ca="1">IF(X$33&gt;=$F75,$AD75-SUM($G75:X75),0)</f>
        <v>64.470600358934234</v>
      </c>
      <c r="AX75" s="153">
        <f ca="1">IF(Y$33&gt;=$F75,$AD75-SUM($G75:Y75),0)</f>
        <v>36.585898119377816</v>
      </c>
      <c r="AY75" s="153">
        <f ca="1">IF(Z$33&gt;=$F75,$AD75-SUM($G75:Z75),0)</f>
        <v>16.630740908824961</v>
      </c>
      <c r="AZ75" s="154">
        <f ca="1">IF(AA$33&gt;=$F75,$AD75-SUM($G75:AA75),0)</f>
        <v>6.061486556383656</v>
      </c>
    </row>
    <row r="76" spans="2:52" x14ac:dyDescent="0.3">
      <c r="B76" s="177">
        <f t="shared" ca="1" si="12"/>
        <v>1374.2356697540308</v>
      </c>
      <c r="C76" s="182">
        <f t="shared" ca="1" si="11"/>
        <v>200.86390120151134</v>
      </c>
      <c r="D76" s="177">
        <f t="shared" ca="1" si="12"/>
        <v>1982.6964578297261</v>
      </c>
      <c r="E76" s="170">
        <f t="shared" ca="1" si="13"/>
        <v>41.65638950257167</v>
      </c>
      <c r="F76" s="157">
        <v>2190</v>
      </c>
      <c r="G76" s="152">
        <f t="shared" si="14"/>
        <v>0</v>
      </c>
      <c r="H76" s="153">
        <f t="shared" si="14"/>
        <v>0</v>
      </c>
      <c r="I76" s="153">
        <f t="shared" si="14"/>
        <v>0</v>
      </c>
      <c r="J76" s="153">
        <f t="shared" si="14"/>
        <v>0</v>
      </c>
      <c r="K76" s="153">
        <f t="shared" si="14"/>
        <v>0</v>
      </c>
      <c r="L76" s="153">
        <f t="shared" si="14"/>
        <v>0</v>
      </c>
      <c r="M76" s="153">
        <f t="shared" si="14"/>
        <v>0</v>
      </c>
      <c r="N76" s="153">
        <f t="shared" si="14"/>
        <v>0</v>
      </c>
      <c r="O76" s="153">
        <f t="shared" si="14"/>
        <v>0</v>
      </c>
      <c r="P76" s="153">
        <f t="shared" si="14"/>
        <v>0</v>
      </c>
      <c r="Q76" s="153">
        <f t="shared" si="15"/>
        <v>0</v>
      </c>
      <c r="R76" s="153">
        <f t="shared" ca="1" si="15"/>
        <v>0</v>
      </c>
      <c r="S76" s="153">
        <f t="shared" ca="1" si="15"/>
        <v>0</v>
      </c>
      <c r="T76" s="153">
        <f t="shared" ca="1" si="15"/>
        <v>0</v>
      </c>
      <c r="U76" s="153">
        <f t="shared" ca="1" si="15"/>
        <v>0</v>
      </c>
      <c r="V76" s="153">
        <f t="shared" ca="1" si="15"/>
        <v>0</v>
      </c>
      <c r="W76" s="153">
        <f t="shared" ca="1" si="15"/>
        <v>0</v>
      </c>
      <c r="X76" s="153">
        <f t="shared" ca="1" si="15"/>
        <v>4.792444032340982</v>
      </c>
      <c r="Y76" s="153">
        <f t="shared" ca="1" si="15"/>
        <v>10.741058866390574</v>
      </c>
      <c r="Z76" s="153">
        <f t="shared" ca="1" si="15"/>
        <v>11.298621550448063</v>
      </c>
      <c r="AA76" s="154">
        <f t="shared" ca="1" si="15"/>
        <v>8.0856437829159358</v>
      </c>
      <c r="AD76" s="170">
        <f ca="1"/>
        <v>41.65638950257167</v>
      </c>
      <c r="AE76" s="157">
        <v>2190</v>
      </c>
      <c r="AF76" s="152">
        <f>IF(G$33&gt;=$F76,$AD76-SUM($G76:G76),0)</f>
        <v>0</v>
      </c>
      <c r="AG76" s="153">
        <f>IF(H$33&gt;=$F76,$AD76-SUM($G76:H76),0)</f>
        <v>0</v>
      </c>
      <c r="AH76" s="153">
        <f>IF(I$33&gt;=$F76,$AD76-SUM($G76:I76),0)</f>
        <v>0</v>
      </c>
      <c r="AI76" s="153">
        <f>IF(J$33&gt;=$F76,$AD76-SUM($G76:J76),0)</f>
        <v>0</v>
      </c>
      <c r="AJ76" s="153">
        <f>IF(K$33&gt;=$F76,$AD76-SUM($G76:K76),0)</f>
        <v>0</v>
      </c>
      <c r="AK76" s="153">
        <f>IF(L$33&gt;=$F76,$AD76-SUM($G76:L76),0)</f>
        <v>0</v>
      </c>
      <c r="AL76" s="153">
        <f>IF(M$33&gt;=$F76,$AD76-SUM($G76:M76),0)</f>
        <v>0</v>
      </c>
      <c r="AM76" s="153">
        <f>IF(N$33&gt;=$F76,$AD76-SUM($G76:N76),0)</f>
        <v>0</v>
      </c>
      <c r="AN76" s="153">
        <f>IF(O$33&gt;=$F76,$AD76-SUM($G76:O76),0)</f>
        <v>0</v>
      </c>
      <c r="AO76" s="153">
        <f>IF(P$33&gt;=$F76,$AD76-SUM($G76:P76),0)</f>
        <v>0</v>
      </c>
      <c r="AP76" s="153">
        <f>IF(Q$33&gt;=$F76,$AD76-SUM($G76:Q76),0)</f>
        <v>0</v>
      </c>
      <c r="AQ76" s="153">
        <f ca="1">IF(R$33&gt;=$F76,$AD76-SUM($G76:R76),0)</f>
        <v>41.65638950257167</v>
      </c>
      <c r="AR76" s="153">
        <f ca="1">IF(S$33&gt;=$F76,$AD76-SUM($G76:S76),0)</f>
        <v>41.65638950257167</v>
      </c>
      <c r="AS76" s="153">
        <f ca="1">IF(T$33&gt;=$F76,$AD76-SUM($G76:T76),0)</f>
        <v>41.65638950257167</v>
      </c>
      <c r="AT76" s="153">
        <f ca="1">IF(U$33&gt;=$F76,$AD76-SUM($G76:U76),0)</f>
        <v>41.65638950257167</v>
      </c>
      <c r="AU76" s="153">
        <f ca="1">IF(V$33&gt;=$F76,$AD76-SUM($G76:V76),0)</f>
        <v>41.65638950257167</v>
      </c>
      <c r="AV76" s="153">
        <f ca="1">IF(W$33&gt;=$F76,$AD76-SUM($G76:W76),0)</f>
        <v>41.65638950257167</v>
      </c>
      <c r="AW76" s="153">
        <f ca="1">IF(X$33&gt;=$F76,$AD76-SUM($G76:X76),0)</f>
        <v>36.863945470230689</v>
      </c>
      <c r="AX76" s="153">
        <f ca="1">IF(Y$33&gt;=$F76,$AD76-SUM($G76:Y76),0)</f>
        <v>26.122886603840115</v>
      </c>
      <c r="AY76" s="153">
        <f ca="1">IF(Z$33&gt;=$F76,$AD76-SUM($G76:Z76),0)</f>
        <v>14.824265053392054</v>
      </c>
      <c r="AZ76" s="154">
        <f ca="1">IF(AA$33&gt;=$F76,$AD76-SUM($G76:AA76),0)</f>
        <v>6.7386212704761164</v>
      </c>
    </row>
    <row r="77" spans="2:52" x14ac:dyDescent="0.3">
      <c r="B77" s="177">
        <f t="shared" ca="1" si="12"/>
        <v>1590.8819216038339</v>
      </c>
      <c r="C77" s="182">
        <f t="shared" ca="1" si="11"/>
        <v>216.64625184980312</v>
      </c>
      <c r="D77" s="177">
        <f t="shared" ca="1" si="12"/>
        <v>2009.0584833841983</v>
      </c>
      <c r="E77" s="170">
        <f t="shared" ca="1" si="13"/>
        <v>26.362025554472304</v>
      </c>
      <c r="F77" s="157">
        <v>2200</v>
      </c>
      <c r="G77" s="152">
        <f t="shared" si="14"/>
        <v>0</v>
      </c>
      <c r="H77" s="153">
        <f t="shared" si="14"/>
        <v>0</v>
      </c>
      <c r="I77" s="153">
        <f t="shared" si="14"/>
        <v>0</v>
      </c>
      <c r="J77" s="153">
        <f t="shared" si="14"/>
        <v>0</v>
      </c>
      <c r="K77" s="153">
        <f t="shared" si="14"/>
        <v>0</v>
      </c>
      <c r="L77" s="153">
        <f t="shared" si="14"/>
        <v>0</v>
      </c>
      <c r="M77" s="153">
        <f t="shared" si="14"/>
        <v>0</v>
      </c>
      <c r="N77" s="153">
        <f t="shared" si="14"/>
        <v>0</v>
      </c>
      <c r="O77" s="153">
        <f t="shared" si="14"/>
        <v>0</v>
      </c>
      <c r="P77" s="153">
        <f t="shared" si="14"/>
        <v>0</v>
      </c>
      <c r="Q77" s="153">
        <f t="shared" si="15"/>
        <v>0</v>
      </c>
      <c r="R77" s="153">
        <f t="shared" si="15"/>
        <v>0</v>
      </c>
      <c r="S77" s="153">
        <f t="shared" ca="1" si="15"/>
        <v>0</v>
      </c>
      <c r="T77" s="153">
        <f t="shared" ca="1" si="15"/>
        <v>0</v>
      </c>
      <c r="U77" s="153">
        <f t="shared" ca="1" si="15"/>
        <v>0</v>
      </c>
      <c r="V77" s="153">
        <f t="shared" ca="1" si="15"/>
        <v>0</v>
      </c>
      <c r="W77" s="153">
        <f t="shared" ca="1" si="15"/>
        <v>0</v>
      </c>
      <c r="X77" s="153">
        <f t="shared" ca="1" si="15"/>
        <v>0</v>
      </c>
      <c r="Y77" s="153">
        <f t="shared" ca="1" si="15"/>
        <v>3.03287283313768</v>
      </c>
      <c r="Z77" s="153">
        <f t="shared" ca="1" si="15"/>
        <v>6.7974222369991741</v>
      </c>
      <c r="AA77" s="154">
        <f t="shared" ca="1" si="15"/>
        <v>7.1502728296900324</v>
      </c>
      <c r="AD77" s="170">
        <f ca="1"/>
        <v>26.362025554472304</v>
      </c>
      <c r="AE77" s="157">
        <v>2200</v>
      </c>
      <c r="AF77" s="152">
        <f>IF(G$33&gt;=$F77,$AD77-SUM($G77:G77),0)</f>
        <v>0</v>
      </c>
      <c r="AG77" s="153">
        <f>IF(H$33&gt;=$F77,$AD77-SUM($G77:H77),0)</f>
        <v>0</v>
      </c>
      <c r="AH77" s="153">
        <f>IF(I$33&gt;=$F77,$AD77-SUM($G77:I77),0)</f>
        <v>0</v>
      </c>
      <c r="AI77" s="153">
        <f>IF(J$33&gt;=$F77,$AD77-SUM($G77:J77),0)</f>
        <v>0</v>
      </c>
      <c r="AJ77" s="153">
        <f>IF(K$33&gt;=$F77,$AD77-SUM($G77:K77),0)</f>
        <v>0</v>
      </c>
      <c r="AK77" s="153">
        <f>IF(L$33&gt;=$F77,$AD77-SUM($G77:L77),0)</f>
        <v>0</v>
      </c>
      <c r="AL77" s="153">
        <f>IF(M$33&gt;=$F77,$AD77-SUM($G77:M77),0)</f>
        <v>0</v>
      </c>
      <c r="AM77" s="153">
        <f>IF(N$33&gt;=$F77,$AD77-SUM($G77:N77),0)</f>
        <v>0</v>
      </c>
      <c r="AN77" s="153">
        <f>IF(O$33&gt;=$F77,$AD77-SUM($G77:O77),0)</f>
        <v>0</v>
      </c>
      <c r="AO77" s="153">
        <f>IF(P$33&gt;=$F77,$AD77-SUM($G77:P77),0)</f>
        <v>0</v>
      </c>
      <c r="AP77" s="153">
        <f>IF(Q$33&gt;=$F77,$AD77-SUM($G77:Q77),0)</f>
        <v>0</v>
      </c>
      <c r="AQ77" s="153">
        <f>IF(R$33&gt;=$F77,$AD77-SUM($G77:R77),0)</f>
        <v>0</v>
      </c>
      <c r="AR77" s="153">
        <f ca="1">IF(S$33&gt;=$F77,$AD77-SUM($G77:S77),0)</f>
        <v>26.362025554472304</v>
      </c>
      <c r="AS77" s="153">
        <f ca="1">IF(T$33&gt;=$F77,$AD77-SUM($G77:T77),0)</f>
        <v>26.362025554472304</v>
      </c>
      <c r="AT77" s="153">
        <f ca="1">IF(U$33&gt;=$F77,$AD77-SUM($G77:U77),0)</f>
        <v>26.362025554472304</v>
      </c>
      <c r="AU77" s="153">
        <f ca="1">IF(V$33&gt;=$F77,$AD77-SUM($G77:V77),0)</f>
        <v>26.362025554472304</v>
      </c>
      <c r="AV77" s="153">
        <f ca="1">IF(W$33&gt;=$F77,$AD77-SUM($G77:W77),0)</f>
        <v>26.362025554472304</v>
      </c>
      <c r="AW77" s="153">
        <f ca="1">IF(X$33&gt;=$F77,$AD77-SUM($G77:X77),0)</f>
        <v>26.362025554472304</v>
      </c>
      <c r="AX77" s="153">
        <f ca="1">IF(Y$33&gt;=$F77,$AD77-SUM($G77:Y77),0)</f>
        <v>23.329152721334623</v>
      </c>
      <c r="AY77" s="153">
        <f ca="1">IF(Z$33&gt;=$F77,$AD77-SUM($G77:Z77),0)</f>
        <v>16.531730484335448</v>
      </c>
      <c r="AZ77" s="154">
        <f ca="1">IF(AA$33&gt;=$F77,$AD77-SUM($G77:AA77),0)</f>
        <v>9.3814576546454163</v>
      </c>
    </row>
    <row r="78" spans="2:52" x14ac:dyDescent="0.3">
      <c r="B78" s="177">
        <f t="shared" ca="1" si="12"/>
        <v>1770.9152092241668</v>
      </c>
      <c r="C78" s="182">
        <f t="shared" ca="1" si="11"/>
        <v>180.03328762033283</v>
      </c>
      <c r="D78" s="177">
        <f t="shared" ca="1" si="12"/>
        <v>2072.3880110927462</v>
      </c>
      <c r="E78" s="170">
        <f t="shared" ca="1" si="13"/>
        <v>63.32952770854773</v>
      </c>
      <c r="F78" s="157">
        <v>2210</v>
      </c>
      <c r="G78" s="152">
        <f t="shared" si="14"/>
        <v>0</v>
      </c>
      <c r="H78" s="153">
        <f t="shared" si="14"/>
        <v>0</v>
      </c>
      <c r="I78" s="153">
        <f t="shared" si="14"/>
        <v>0</v>
      </c>
      <c r="J78" s="153">
        <f t="shared" si="14"/>
        <v>0</v>
      </c>
      <c r="K78" s="153">
        <f t="shared" si="14"/>
        <v>0</v>
      </c>
      <c r="L78" s="153">
        <f t="shared" si="14"/>
        <v>0</v>
      </c>
      <c r="M78" s="153">
        <f t="shared" si="14"/>
        <v>0</v>
      </c>
      <c r="N78" s="153">
        <f t="shared" si="14"/>
        <v>0</v>
      </c>
      <c r="O78" s="153">
        <f t="shared" si="14"/>
        <v>0</v>
      </c>
      <c r="P78" s="153">
        <f t="shared" si="14"/>
        <v>0</v>
      </c>
      <c r="Q78" s="153">
        <f t="shared" si="15"/>
        <v>0</v>
      </c>
      <c r="R78" s="153">
        <f t="shared" si="15"/>
        <v>0</v>
      </c>
      <c r="S78" s="153">
        <f t="shared" si="15"/>
        <v>0</v>
      </c>
      <c r="T78" s="153">
        <f t="shared" ca="1" si="15"/>
        <v>0</v>
      </c>
      <c r="U78" s="153">
        <f t="shared" ca="1" si="15"/>
        <v>0</v>
      </c>
      <c r="V78" s="153">
        <f t="shared" ca="1" si="15"/>
        <v>0</v>
      </c>
      <c r="W78" s="153">
        <f t="shared" ca="1" si="15"/>
        <v>0</v>
      </c>
      <c r="X78" s="153">
        <f t="shared" ca="1" si="15"/>
        <v>0</v>
      </c>
      <c r="Y78" s="153">
        <f t="shared" ca="1" si="15"/>
        <v>0</v>
      </c>
      <c r="Z78" s="153">
        <f t="shared" ca="1" si="15"/>
        <v>7.2858742863220431</v>
      </c>
      <c r="AA78" s="154">
        <f t="shared" ca="1" si="15"/>
        <v>16.329456134363976</v>
      </c>
      <c r="AD78" s="170">
        <f ca="1"/>
        <v>63.32952770854773</v>
      </c>
      <c r="AE78" s="157">
        <v>2210</v>
      </c>
      <c r="AF78" s="152">
        <f>IF(G$33&gt;=$F78,$AD78-SUM($G78:G78),0)</f>
        <v>0</v>
      </c>
      <c r="AG78" s="153">
        <f>IF(H$33&gt;=$F78,$AD78-SUM($G78:H78),0)</f>
        <v>0</v>
      </c>
      <c r="AH78" s="153">
        <f>IF(I$33&gt;=$F78,$AD78-SUM($G78:I78),0)</f>
        <v>0</v>
      </c>
      <c r="AI78" s="153">
        <f>IF(J$33&gt;=$F78,$AD78-SUM($G78:J78),0)</f>
        <v>0</v>
      </c>
      <c r="AJ78" s="153">
        <f>IF(K$33&gt;=$F78,$AD78-SUM($G78:K78),0)</f>
        <v>0</v>
      </c>
      <c r="AK78" s="153">
        <f>IF(L$33&gt;=$F78,$AD78-SUM($G78:L78),0)</f>
        <v>0</v>
      </c>
      <c r="AL78" s="153">
        <f>IF(M$33&gt;=$F78,$AD78-SUM($G78:M78),0)</f>
        <v>0</v>
      </c>
      <c r="AM78" s="153">
        <f>IF(N$33&gt;=$F78,$AD78-SUM($G78:N78),0)</f>
        <v>0</v>
      </c>
      <c r="AN78" s="153">
        <f>IF(O$33&gt;=$F78,$AD78-SUM($G78:O78),0)</f>
        <v>0</v>
      </c>
      <c r="AO78" s="153">
        <f>IF(P$33&gt;=$F78,$AD78-SUM($G78:P78),0)</f>
        <v>0</v>
      </c>
      <c r="AP78" s="153">
        <f>IF(Q$33&gt;=$F78,$AD78-SUM($G78:Q78),0)</f>
        <v>0</v>
      </c>
      <c r="AQ78" s="153">
        <f>IF(R$33&gt;=$F78,$AD78-SUM($G78:R78),0)</f>
        <v>0</v>
      </c>
      <c r="AR78" s="153">
        <f>IF(S$33&gt;=$F78,$AD78-SUM($G78:S78),0)</f>
        <v>0</v>
      </c>
      <c r="AS78" s="153">
        <f ca="1">IF(T$33&gt;=$F78,$AD78-SUM($G78:T78),0)</f>
        <v>63.32952770854773</v>
      </c>
      <c r="AT78" s="153">
        <f ca="1">IF(U$33&gt;=$F78,$AD78-SUM($G78:U78),0)</f>
        <v>63.32952770854773</v>
      </c>
      <c r="AU78" s="153">
        <f ca="1">IF(V$33&gt;=$F78,$AD78-SUM($G78:V78),0)</f>
        <v>63.32952770854773</v>
      </c>
      <c r="AV78" s="153">
        <f ca="1">IF(W$33&gt;=$F78,$AD78-SUM($G78:W78),0)</f>
        <v>63.32952770854773</v>
      </c>
      <c r="AW78" s="153">
        <f ca="1">IF(X$33&gt;=$F78,$AD78-SUM($G78:X78),0)</f>
        <v>63.32952770854773</v>
      </c>
      <c r="AX78" s="153">
        <f ca="1">IF(Y$33&gt;=$F78,$AD78-SUM($G78:Y78),0)</f>
        <v>63.32952770854773</v>
      </c>
      <c r="AY78" s="153">
        <f ca="1">IF(Z$33&gt;=$F78,$AD78-SUM($G78:Z78),0)</f>
        <v>56.043653422225688</v>
      </c>
      <c r="AZ78" s="154">
        <f ca="1">IF(AA$33&gt;=$F78,$AD78-SUM($G78:AA78),0)</f>
        <v>39.714197287861708</v>
      </c>
    </row>
    <row r="79" spans="2:52" x14ac:dyDescent="0.3">
      <c r="B79" s="177">
        <f t="shared" ca="1" si="12"/>
        <v>1885.3351799042946</v>
      </c>
      <c r="C79" s="182">
        <f t="shared" ca="1" si="11"/>
        <v>114.41997068012788</v>
      </c>
      <c r="D79" s="177">
        <f t="shared" ca="1" si="12"/>
        <v>2201.2834160625448</v>
      </c>
      <c r="E79" s="170">
        <f t="shared" ca="1" si="13"/>
        <v>128.89540496979856</v>
      </c>
      <c r="F79" s="157">
        <v>2220</v>
      </c>
      <c r="G79" s="152">
        <f t="shared" si="14"/>
        <v>0</v>
      </c>
      <c r="H79" s="153">
        <f t="shared" si="14"/>
        <v>0</v>
      </c>
      <c r="I79" s="153">
        <f t="shared" si="14"/>
        <v>0</v>
      </c>
      <c r="J79" s="153">
        <f t="shared" si="14"/>
        <v>0</v>
      </c>
      <c r="K79" s="153">
        <f t="shared" si="14"/>
        <v>0</v>
      </c>
      <c r="L79" s="153">
        <f t="shared" si="14"/>
        <v>0</v>
      </c>
      <c r="M79" s="153">
        <f t="shared" si="14"/>
        <v>0</v>
      </c>
      <c r="N79" s="153">
        <f t="shared" si="14"/>
        <v>0</v>
      </c>
      <c r="O79" s="153">
        <f t="shared" si="14"/>
        <v>0</v>
      </c>
      <c r="P79" s="153">
        <f t="shared" si="14"/>
        <v>0</v>
      </c>
      <c r="Q79" s="153">
        <f t="shared" si="15"/>
        <v>0</v>
      </c>
      <c r="R79" s="153">
        <f t="shared" si="15"/>
        <v>0</v>
      </c>
      <c r="S79" s="153">
        <f t="shared" si="15"/>
        <v>0</v>
      </c>
      <c r="T79" s="153">
        <f t="shared" si="15"/>
        <v>0</v>
      </c>
      <c r="U79" s="153">
        <f t="shared" ca="1" si="15"/>
        <v>0</v>
      </c>
      <c r="V79" s="153">
        <f t="shared" ca="1" si="15"/>
        <v>0</v>
      </c>
      <c r="W79" s="153">
        <f t="shared" ca="1" si="15"/>
        <v>0</v>
      </c>
      <c r="X79" s="153">
        <f t="shared" ca="1" si="15"/>
        <v>0</v>
      </c>
      <c r="Y79" s="153">
        <f t="shared" ca="1" si="15"/>
        <v>0</v>
      </c>
      <c r="Z79" s="153">
        <f t="shared" ca="1" si="15"/>
        <v>0</v>
      </c>
      <c r="AA79" s="154">
        <f t="shared" ca="1" si="15"/>
        <v>14.829033954216072</v>
      </c>
      <c r="AD79" s="170">
        <f ca="1"/>
        <v>128.89540496979856</v>
      </c>
      <c r="AE79" s="157">
        <v>2220</v>
      </c>
      <c r="AF79" s="152">
        <f>IF(G$33&gt;=$F79,$AD79-SUM($G79:G79),0)</f>
        <v>0</v>
      </c>
      <c r="AG79" s="153">
        <f>IF(H$33&gt;=$F79,$AD79-SUM($G79:H79),0)</f>
        <v>0</v>
      </c>
      <c r="AH79" s="153">
        <f>IF(I$33&gt;=$F79,$AD79-SUM($G79:I79),0)</f>
        <v>0</v>
      </c>
      <c r="AI79" s="153">
        <f>IF(J$33&gt;=$F79,$AD79-SUM($G79:J79),0)</f>
        <v>0</v>
      </c>
      <c r="AJ79" s="153">
        <f>IF(K$33&gt;=$F79,$AD79-SUM($G79:K79),0)</f>
        <v>0</v>
      </c>
      <c r="AK79" s="153">
        <f>IF(L$33&gt;=$F79,$AD79-SUM($G79:L79),0)</f>
        <v>0</v>
      </c>
      <c r="AL79" s="153">
        <f>IF(M$33&gt;=$F79,$AD79-SUM($G79:M79),0)</f>
        <v>0</v>
      </c>
      <c r="AM79" s="153">
        <f>IF(N$33&gt;=$F79,$AD79-SUM($G79:N79),0)</f>
        <v>0</v>
      </c>
      <c r="AN79" s="153">
        <f>IF(O$33&gt;=$F79,$AD79-SUM($G79:O79),0)</f>
        <v>0</v>
      </c>
      <c r="AO79" s="153">
        <f>IF(P$33&gt;=$F79,$AD79-SUM($G79:P79),0)</f>
        <v>0</v>
      </c>
      <c r="AP79" s="153">
        <f>IF(Q$33&gt;=$F79,$AD79-SUM($G79:Q79),0)</f>
        <v>0</v>
      </c>
      <c r="AQ79" s="153">
        <f>IF(R$33&gt;=$F79,$AD79-SUM($G79:R79),0)</f>
        <v>0</v>
      </c>
      <c r="AR79" s="153">
        <f>IF(S$33&gt;=$F79,$AD79-SUM($G79:S79),0)</f>
        <v>0</v>
      </c>
      <c r="AS79" s="153">
        <f>IF(T$33&gt;=$F79,$AD79-SUM($G79:T79),0)</f>
        <v>0</v>
      </c>
      <c r="AT79" s="153">
        <f ca="1">IF(U$33&gt;=$F79,$AD79-SUM($G79:U79),0)</f>
        <v>128.89540496979856</v>
      </c>
      <c r="AU79" s="153">
        <f ca="1">IF(V$33&gt;=$F79,$AD79-SUM($G79:V79),0)</f>
        <v>128.89540496979856</v>
      </c>
      <c r="AV79" s="153">
        <f ca="1">IF(W$33&gt;=$F79,$AD79-SUM($G79:W79),0)</f>
        <v>128.89540496979856</v>
      </c>
      <c r="AW79" s="153">
        <f ca="1">IF(X$33&gt;=$F79,$AD79-SUM($G79:X79),0)</f>
        <v>128.89540496979856</v>
      </c>
      <c r="AX79" s="153">
        <f ca="1">IF(Y$33&gt;=$F79,$AD79-SUM($G79:Y79),0)</f>
        <v>128.89540496979856</v>
      </c>
      <c r="AY79" s="153">
        <f ca="1">IF(Z$33&gt;=$F79,$AD79-SUM($G79:Z79),0)</f>
        <v>128.89540496979856</v>
      </c>
      <c r="AZ79" s="154">
        <f ca="1">IF(AA$33&gt;=$F79,$AD79-SUM($G79:AA79),0)</f>
        <v>114.06637101558249</v>
      </c>
    </row>
    <row r="80" spans="2:52" x14ac:dyDescent="0.3">
      <c r="B80" s="177">
        <f t="shared" ca="1" si="12"/>
        <v>1943.9733518327582</v>
      </c>
      <c r="C80" s="182">
        <f t="shared" ca="1" si="11"/>
        <v>58.638171928463578</v>
      </c>
      <c r="D80" s="177">
        <f t="shared" ca="1" si="12"/>
        <v>2385.820183496674</v>
      </c>
      <c r="E80" s="170">
        <f t="shared" ca="1" si="13"/>
        <v>184.53676743412933</v>
      </c>
      <c r="F80" s="157">
        <v>2230</v>
      </c>
      <c r="G80" s="152">
        <f t="shared" si="14"/>
        <v>0</v>
      </c>
      <c r="H80" s="153">
        <f t="shared" si="14"/>
        <v>0</v>
      </c>
      <c r="I80" s="153">
        <f t="shared" si="14"/>
        <v>0</v>
      </c>
      <c r="J80" s="153">
        <f t="shared" si="14"/>
        <v>0</v>
      </c>
      <c r="K80" s="153">
        <f t="shared" si="14"/>
        <v>0</v>
      </c>
      <c r="L80" s="153">
        <f t="shared" si="14"/>
        <v>0</v>
      </c>
      <c r="M80" s="153">
        <f t="shared" si="14"/>
        <v>0</v>
      </c>
      <c r="N80" s="153">
        <f t="shared" si="14"/>
        <v>0</v>
      </c>
      <c r="O80" s="153">
        <f t="shared" si="14"/>
        <v>0</v>
      </c>
      <c r="P80" s="153">
        <f t="shared" si="14"/>
        <v>0</v>
      </c>
      <c r="Q80" s="153">
        <f t="shared" si="15"/>
        <v>0</v>
      </c>
      <c r="R80" s="153">
        <f t="shared" si="15"/>
        <v>0</v>
      </c>
      <c r="S80" s="153">
        <f t="shared" si="15"/>
        <v>0</v>
      </c>
      <c r="T80" s="153">
        <f t="shared" si="15"/>
        <v>0</v>
      </c>
      <c r="U80" s="153">
        <f t="shared" si="15"/>
        <v>0</v>
      </c>
      <c r="V80" s="153">
        <f t="shared" ca="1" si="15"/>
        <v>0</v>
      </c>
      <c r="W80" s="153">
        <f t="shared" ca="1" si="15"/>
        <v>0</v>
      </c>
      <c r="X80" s="153">
        <f t="shared" ca="1" si="15"/>
        <v>0</v>
      </c>
      <c r="Y80" s="153">
        <f t="shared" ca="1" si="15"/>
        <v>0</v>
      </c>
      <c r="Z80" s="153">
        <f t="shared" ca="1" si="15"/>
        <v>0</v>
      </c>
      <c r="AA80" s="154">
        <f t="shared" ca="1" si="15"/>
        <v>0</v>
      </c>
      <c r="AD80" s="170">
        <f ca="1"/>
        <v>184.53676743412933</v>
      </c>
      <c r="AE80" s="157">
        <v>2230</v>
      </c>
      <c r="AF80" s="152">
        <f>IF(G$33&gt;=$F80,$AD80-SUM($G80:G80),0)</f>
        <v>0</v>
      </c>
      <c r="AG80" s="153">
        <f>IF(H$33&gt;=$F80,$AD80-SUM($G80:H80),0)</f>
        <v>0</v>
      </c>
      <c r="AH80" s="153">
        <f>IF(I$33&gt;=$F80,$AD80-SUM($G80:I80),0)</f>
        <v>0</v>
      </c>
      <c r="AI80" s="153">
        <f>IF(J$33&gt;=$F80,$AD80-SUM($G80:J80),0)</f>
        <v>0</v>
      </c>
      <c r="AJ80" s="153">
        <f>IF(K$33&gt;=$F80,$AD80-SUM($G80:K80),0)</f>
        <v>0</v>
      </c>
      <c r="AK80" s="153">
        <f>IF(L$33&gt;=$F80,$AD80-SUM($G80:L80),0)</f>
        <v>0</v>
      </c>
      <c r="AL80" s="153">
        <f>IF(M$33&gt;=$F80,$AD80-SUM($G80:M80),0)</f>
        <v>0</v>
      </c>
      <c r="AM80" s="153">
        <f>IF(N$33&gt;=$F80,$AD80-SUM($G80:N80),0)</f>
        <v>0</v>
      </c>
      <c r="AN80" s="153">
        <f>IF(O$33&gt;=$F80,$AD80-SUM($G80:O80),0)</f>
        <v>0</v>
      </c>
      <c r="AO80" s="153">
        <f>IF(P$33&gt;=$F80,$AD80-SUM($G80:P80),0)</f>
        <v>0</v>
      </c>
      <c r="AP80" s="153">
        <f>IF(Q$33&gt;=$F80,$AD80-SUM($G80:Q80),0)</f>
        <v>0</v>
      </c>
      <c r="AQ80" s="153">
        <f>IF(R$33&gt;=$F80,$AD80-SUM($G80:R80),0)</f>
        <v>0</v>
      </c>
      <c r="AR80" s="153">
        <f>IF(S$33&gt;=$F80,$AD80-SUM($G80:S80),0)</f>
        <v>0</v>
      </c>
      <c r="AS80" s="153">
        <f>IF(T$33&gt;=$F80,$AD80-SUM($G80:T80),0)</f>
        <v>0</v>
      </c>
      <c r="AT80" s="153">
        <f>IF(U$33&gt;=$F80,$AD80-SUM($G80:U80),0)</f>
        <v>0</v>
      </c>
      <c r="AU80" s="153">
        <f ca="1">IF(V$33&gt;=$F80,$AD80-SUM($G80:V80),0)</f>
        <v>184.53676743412933</v>
      </c>
      <c r="AV80" s="153">
        <f ca="1">IF(W$33&gt;=$F80,$AD80-SUM($G80:W80),0)</f>
        <v>184.53676743412933</v>
      </c>
      <c r="AW80" s="153">
        <f ca="1">IF(X$33&gt;=$F80,$AD80-SUM($G80:X80),0)</f>
        <v>184.53676743412933</v>
      </c>
      <c r="AX80" s="153">
        <f ca="1">IF(Y$33&gt;=$F80,$AD80-SUM($G80:Y80),0)</f>
        <v>184.53676743412933</v>
      </c>
      <c r="AY80" s="153">
        <f ca="1">IF(Z$33&gt;=$F80,$AD80-SUM($G80:Z80),0)</f>
        <v>184.53676743412933</v>
      </c>
      <c r="AZ80" s="154">
        <f ca="1">IF(AA$33&gt;=$F80,$AD80-SUM($G80:AA80),0)</f>
        <v>184.53676743412933</v>
      </c>
    </row>
    <row r="81" spans="2:52" x14ac:dyDescent="0.3">
      <c r="B81" s="177">
        <f t="shared" ca="1" si="12"/>
        <v>1989.7907709059282</v>
      </c>
      <c r="C81" s="182">
        <f t="shared" ca="1" si="11"/>
        <v>45.817419073169901</v>
      </c>
      <c r="D81" s="177">
        <f t="shared" ca="1" si="12"/>
        <v>2583.1419220994248</v>
      </c>
      <c r="E81" s="170">
        <f t="shared" ca="1" si="13"/>
        <v>197.32173860275097</v>
      </c>
      <c r="F81" s="157">
        <v>2240</v>
      </c>
      <c r="G81" s="152">
        <f t="shared" si="14"/>
        <v>0</v>
      </c>
      <c r="H81" s="153">
        <f t="shared" si="14"/>
        <v>0</v>
      </c>
      <c r="I81" s="153">
        <f t="shared" si="14"/>
        <v>0</v>
      </c>
      <c r="J81" s="153">
        <f t="shared" si="14"/>
        <v>0</v>
      </c>
      <c r="K81" s="153">
        <f t="shared" si="14"/>
        <v>0</v>
      </c>
      <c r="L81" s="153">
        <f t="shared" si="14"/>
        <v>0</v>
      </c>
      <c r="M81" s="153">
        <f t="shared" si="14"/>
        <v>0</v>
      </c>
      <c r="N81" s="153">
        <f t="shared" si="14"/>
        <v>0</v>
      </c>
      <c r="O81" s="153">
        <f t="shared" si="14"/>
        <v>0</v>
      </c>
      <c r="P81" s="153">
        <f t="shared" si="14"/>
        <v>0</v>
      </c>
      <c r="Q81" s="153">
        <f t="shared" si="15"/>
        <v>0</v>
      </c>
      <c r="R81" s="153">
        <f t="shared" si="15"/>
        <v>0</v>
      </c>
      <c r="S81" s="153">
        <f t="shared" si="15"/>
        <v>0</v>
      </c>
      <c r="T81" s="153">
        <f t="shared" si="15"/>
        <v>0</v>
      </c>
      <c r="U81" s="153">
        <f t="shared" si="15"/>
        <v>0</v>
      </c>
      <c r="V81" s="153">
        <f t="shared" si="15"/>
        <v>0</v>
      </c>
      <c r="W81" s="153">
        <f t="shared" ca="1" si="15"/>
        <v>0</v>
      </c>
      <c r="X81" s="153">
        <f t="shared" ca="1" si="15"/>
        <v>0</v>
      </c>
      <c r="Y81" s="153">
        <f t="shared" ca="1" si="15"/>
        <v>0</v>
      </c>
      <c r="Z81" s="153">
        <f t="shared" ca="1" si="15"/>
        <v>0</v>
      </c>
      <c r="AA81" s="154">
        <f t="shared" ca="1" si="15"/>
        <v>0</v>
      </c>
      <c r="AD81" s="170">
        <f ca="1"/>
        <v>197.32173860275097</v>
      </c>
      <c r="AE81" s="157">
        <v>2240</v>
      </c>
      <c r="AF81" s="152">
        <f>IF(G$33&gt;=$F81,$AD81-SUM($G81:G81),0)</f>
        <v>0</v>
      </c>
      <c r="AG81" s="153">
        <f>IF(H$33&gt;=$F81,$AD81-SUM($G81:H81),0)</f>
        <v>0</v>
      </c>
      <c r="AH81" s="153">
        <f>IF(I$33&gt;=$F81,$AD81-SUM($G81:I81),0)</f>
        <v>0</v>
      </c>
      <c r="AI81" s="153">
        <f>IF(J$33&gt;=$F81,$AD81-SUM($G81:J81),0)</f>
        <v>0</v>
      </c>
      <c r="AJ81" s="153">
        <f>IF(K$33&gt;=$F81,$AD81-SUM($G81:K81),0)</f>
        <v>0</v>
      </c>
      <c r="AK81" s="153">
        <f>IF(L$33&gt;=$F81,$AD81-SUM($G81:L81),0)</f>
        <v>0</v>
      </c>
      <c r="AL81" s="153">
        <f>IF(M$33&gt;=$F81,$AD81-SUM($G81:M81),0)</f>
        <v>0</v>
      </c>
      <c r="AM81" s="153">
        <f>IF(N$33&gt;=$F81,$AD81-SUM($G81:N81),0)</f>
        <v>0</v>
      </c>
      <c r="AN81" s="153">
        <f>IF(O$33&gt;=$F81,$AD81-SUM($G81:O81),0)</f>
        <v>0</v>
      </c>
      <c r="AO81" s="153">
        <f>IF(P$33&gt;=$F81,$AD81-SUM($G81:P81),0)</f>
        <v>0</v>
      </c>
      <c r="AP81" s="153">
        <f>IF(Q$33&gt;=$F81,$AD81-SUM($G81:Q81),0)</f>
        <v>0</v>
      </c>
      <c r="AQ81" s="153">
        <f>IF(R$33&gt;=$F81,$AD81-SUM($G81:R81),0)</f>
        <v>0</v>
      </c>
      <c r="AR81" s="153">
        <f>IF(S$33&gt;=$F81,$AD81-SUM($G81:S81),0)</f>
        <v>0</v>
      </c>
      <c r="AS81" s="153">
        <f>IF(T$33&gt;=$F81,$AD81-SUM($G81:T81),0)</f>
        <v>0</v>
      </c>
      <c r="AT81" s="153">
        <f>IF(U$33&gt;=$F81,$AD81-SUM($G81:U81),0)</f>
        <v>0</v>
      </c>
      <c r="AU81" s="153">
        <f>IF(V$33&gt;=$F81,$AD81-SUM($G81:V81),0)</f>
        <v>0</v>
      </c>
      <c r="AV81" s="153">
        <f ca="1">IF(W$33&gt;=$F81,$AD81-SUM($G81:W81),0)</f>
        <v>197.32173860275097</v>
      </c>
      <c r="AW81" s="153">
        <f ca="1">IF(X$33&gt;=$F81,$AD81-SUM($G81:X81),0)</f>
        <v>197.32173860275097</v>
      </c>
      <c r="AX81" s="153">
        <f ca="1">IF(Y$33&gt;=$F81,$AD81-SUM($G81:Y81),0)</f>
        <v>197.32173860275097</v>
      </c>
      <c r="AY81" s="153">
        <f ca="1">IF(Z$33&gt;=$F81,$AD81-SUM($G81:Z81),0)</f>
        <v>197.32173860275097</v>
      </c>
      <c r="AZ81" s="154">
        <f ca="1">IF(AA$33&gt;=$F81,$AD81-SUM($G81:AA81),0)</f>
        <v>197.32173860275097</v>
      </c>
    </row>
    <row r="82" spans="2:52" x14ac:dyDescent="0.3">
      <c r="B82" s="177">
        <f t="shared" ca="1" si="12"/>
        <v>2065.056301880822</v>
      </c>
      <c r="C82" s="182">
        <f t="shared" ca="1" si="11"/>
        <v>75.265530974893807</v>
      </c>
      <c r="D82" s="177">
        <f t="shared" ca="1" si="12"/>
        <v>2751.0388870546731</v>
      </c>
      <c r="E82" s="170">
        <f t="shared" ca="1" si="13"/>
        <v>167.89696495524814</v>
      </c>
      <c r="F82" s="157">
        <v>2250</v>
      </c>
      <c r="G82" s="152">
        <f t="shared" si="14"/>
        <v>0</v>
      </c>
      <c r="H82" s="153">
        <f t="shared" si="14"/>
        <v>0</v>
      </c>
      <c r="I82" s="153">
        <f t="shared" si="14"/>
        <v>0</v>
      </c>
      <c r="J82" s="153">
        <f t="shared" si="14"/>
        <v>0</v>
      </c>
      <c r="K82" s="153">
        <f t="shared" si="14"/>
        <v>0</v>
      </c>
      <c r="L82" s="153">
        <f t="shared" si="14"/>
        <v>0</v>
      </c>
      <c r="M82" s="153">
        <f t="shared" si="14"/>
        <v>0</v>
      </c>
      <c r="N82" s="153">
        <f t="shared" si="14"/>
        <v>0</v>
      </c>
      <c r="O82" s="153">
        <f t="shared" si="14"/>
        <v>0</v>
      </c>
      <c r="P82" s="153">
        <f t="shared" si="14"/>
        <v>0</v>
      </c>
      <c r="Q82" s="153">
        <f t="shared" si="15"/>
        <v>0</v>
      </c>
      <c r="R82" s="153">
        <f t="shared" si="15"/>
        <v>0</v>
      </c>
      <c r="S82" s="153">
        <f t="shared" si="15"/>
        <v>0</v>
      </c>
      <c r="T82" s="153">
        <f t="shared" si="15"/>
        <v>0</v>
      </c>
      <c r="U82" s="153">
        <f t="shared" si="15"/>
        <v>0</v>
      </c>
      <c r="V82" s="153">
        <f t="shared" si="15"/>
        <v>0</v>
      </c>
      <c r="W82" s="153">
        <f t="shared" si="15"/>
        <v>0</v>
      </c>
      <c r="X82" s="153">
        <f t="shared" ca="1" si="15"/>
        <v>0</v>
      </c>
      <c r="Y82" s="153">
        <f t="shared" ca="1" si="15"/>
        <v>0</v>
      </c>
      <c r="Z82" s="153">
        <f t="shared" ca="1" si="15"/>
        <v>0</v>
      </c>
      <c r="AA82" s="154">
        <f t="shared" ca="1" si="15"/>
        <v>0</v>
      </c>
      <c r="AD82" s="170">
        <f ca="1"/>
        <v>167.89696495524814</v>
      </c>
      <c r="AE82" s="157">
        <v>2250</v>
      </c>
      <c r="AF82" s="152">
        <f>IF(G$33&gt;=$F82,$AD82-SUM($G82:G82),0)</f>
        <v>0</v>
      </c>
      <c r="AG82" s="153">
        <f>IF(H$33&gt;=$F82,$AD82-SUM($G82:H82),0)</f>
        <v>0</v>
      </c>
      <c r="AH82" s="153">
        <f>IF(I$33&gt;=$F82,$AD82-SUM($G82:I82),0)</f>
        <v>0</v>
      </c>
      <c r="AI82" s="153">
        <f>IF(J$33&gt;=$F82,$AD82-SUM($G82:J82),0)</f>
        <v>0</v>
      </c>
      <c r="AJ82" s="153">
        <f>IF(K$33&gt;=$F82,$AD82-SUM($G82:K82),0)</f>
        <v>0</v>
      </c>
      <c r="AK82" s="153">
        <f>IF(L$33&gt;=$F82,$AD82-SUM($G82:L82),0)</f>
        <v>0</v>
      </c>
      <c r="AL82" s="153">
        <f>IF(M$33&gt;=$F82,$AD82-SUM($G82:M82),0)</f>
        <v>0</v>
      </c>
      <c r="AM82" s="153">
        <f>IF(N$33&gt;=$F82,$AD82-SUM($G82:N82),0)</f>
        <v>0</v>
      </c>
      <c r="AN82" s="153">
        <f>IF(O$33&gt;=$F82,$AD82-SUM($G82:O82),0)</f>
        <v>0</v>
      </c>
      <c r="AO82" s="153">
        <f>IF(P$33&gt;=$F82,$AD82-SUM($G82:P82),0)</f>
        <v>0</v>
      </c>
      <c r="AP82" s="153">
        <f>IF(Q$33&gt;=$F82,$AD82-SUM($G82:Q82),0)</f>
        <v>0</v>
      </c>
      <c r="AQ82" s="153">
        <f>IF(R$33&gt;=$F82,$AD82-SUM($G82:R82),0)</f>
        <v>0</v>
      </c>
      <c r="AR82" s="153">
        <f>IF(S$33&gt;=$F82,$AD82-SUM($G82:S82),0)</f>
        <v>0</v>
      </c>
      <c r="AS82" s="153">
        <f>IF(T$33&gt;=$F82,$AD82-SUM($G82:T82),0)</f>
        <v>0</v>
      </c>
      <c r="AT82" s="153">
        <f>IF(U$33&gt;=$F82,$AD82-SUM($G82:U82),0)</f>
        <v>0</v>
      </c>
      <c r="AU82" s="153">
        <f>IF(V$33&gt;=$F82,$AD82-SUM($G82:V82),0)</f>
        <v>0</v>
      </c>
      <c r="AV82" s="153">
        <f>IF(W$33&gt;=$F82,$AD82-SUM($G82:W82),0)</f>
        <v>0</v>
      </c>
      <c r="AW82" s="153">
        <f ca="1">IF(X$33&gt;=$F82,$AD82-SUM($G82:X82),0)</f>
        <v>167.89696495524814</v>
      </c>
      <c r="AX82" s="153">
        <f ca="1">IF(Y$33&gt;=$F82,$AD82-SUM($G82:Y82),0)</f>
        <v>167.89696495524814</v>
      </c>
      <c r="AY82" s="153">
        <f ca="1">IF(Z$33&gt;=$F82,$AD82-SUM($G82:Z82),0)</f>
        <v>167.89696495524814</v>
      </c>
      <c r="AZ82" s="154">
        <f ca="1">IF(AA$33&gt;=$F82,$AD82-SUM($G82:AA82),0)</f>
        <v>167.89696495524814</v>
      </c>
    </row>
    <row r="83" spans="2:52" x14ac:dyDescent="0.3">
      <c r="B83" s="177">
        <f t="shared" ca="1" si="12"/>
        <v>2188.7551939489199</v>
      </c>
      <c r="C83" s="182">
        <f t="shared" ca="1" si="11"/>
        <v>123.69889206809793</v>
      </c>
      <c r="D83" s="177">
        <f t="shared" ca="1" si="12"/>
        <v>2870.5095145774894</v>
      </c>
      <c r="E83" s="170">
        <f t="shared" ca="1" si="13"/>
        <v>119.47062752281656</v>
      </c>
      <c r="F83" s="157">
        <v>2260</v>
      </c>
      <c r="G83" s="152">
        <f t="shared" si="14"/>
        <v>0</v>
      </c>
      <c r="H83" s="153">
        <f t="shared" si="14"/>
        <v>0</v>
      </c>
      <c r="I83" s="153">
        <f t="shared" si="14"/>
        <v>0</v>
      </c>
      <c r="J83" s="153">
        <f t="shared" si="14"/>
        <v>0</v>
      </c>
      <c r="K83" s="153">
        <f t="shared" si="14"/>
        <v>0</v>
      </c>
      <c r="L83" s="153">
        <f t="shared" si="14"/>
        <v>0</v>
      </c>
      <c r="M83" s="153">
        <f t="shared" si="14"/>
        <v>0</v>
      </c>
      <c r="N83" s="153">
        <f t="shared" si="14"/>
        <v>0</v>
      </c>
      <c r="O83" s="153">
        <f t="shared" si="14"/>
        <v>0</v>
      </c>
      <c r="P83" s="153">
        <f t="shared" si="14"/>
        <v>0</v>
      </c>
      <c r="Q83" s="153">
        <f t="shared" si="15"/>
        <v>0</v>
      </c>
      <c r="R83" s="153">
        <f t="shared" si="15"/>
        <v>0</v>
      </c>
      <c r="S83" s="153">
        <f t="shared" si="15"/>
        <v>0</v>
      </c>
      <c r="T83" s="153">
        <f t="shared" si="15"/>
        <v>0</v>
      </c>
      <c r="U83" s="153">
        <f t="shared" si="15"/>
        <v>0</v>
      </c>
      <c r="V83" s="153">
        <f t="shared" si="15"/>
        <v>0</v>
      </c>
      <c r="W83" s="153">
        <f t="shared" si="15"/>
        <v>0</v>
      </c>
      <c r="X83" s="153">
        <f t="shared" si="15"/>
        <v>0</v>
      </c>
      <c r="Y83" s="153">
        <f t="shared" ca="1" si="15"/>
        <v>0</v>
      </c>
      <c r="Z83" s="153">
        <f t="shared" ca="1" si="15"/>
        <v>0</v>
      </c>
      <c r="AA83" s="154">
        <f t="shared" ca="1" si="15"/>
        <v>0</v>
      </c>
      <c r="AD83" s="170">
        <f ca="1"/>
        <v>119.47062752281656</v>
      </c>
      <c r="AE83" s="157">
        <v>2260</v>
      </c>
      <c r="AF83" s="152">
        <f>IF(G$33&gt;=$F83,$AD83-SUM($G83:G83),0)</f>
        <v>0</v>
      </c>
      <c r="AG83" s="153">
        <f>IF(H$33&gt;=$F83,$AD83-SUM($G83:H83),0)</f>
        <v>0</v>
      </c>
      <c r="AH83" s="153">
        <f>IF(I$33&gt;=$F83,$AD83-SUM($G83:I83),0)</f>
        <v>0</v>
      </c>
      <c r="AI83" s="153">
        <f>IF(J$33&gt;=$F83,$AD83-SUM($G83:J83),0)</f>
        <v>0</v>
      </c>
      <c r="AJ83" s="153">
        <f>IF(K$33&gt;=$F83,$AD83-SUM($G83:K83),0)</f>
        <v>0</v>
      </c>
      <c r="AK83" s="153">
        <f>IF(L$33&gt;=$F83,$AD83-SUM($G83:L83),0)</f>
        <v>0</v>
      </c>
      <c r="AL83" s="153">
        <f>IF(M$33&gt;=$F83,$AD83-SUM($G83:M83),0)</f>
        <v>0</v>
      </c>
      <c r="AM83" s="153">
        <f>IF(N$33&gt;=$F83,$AD83-SUM($G83:N83),0)</f>
        <v>0</v>
      </c>
      <c r="AN83" s="153">
        <f>IF(O$33&gt;=$F83,$AD83-SUM($G83:O83),0)</f>
        <v>0</v>
      </c>
      <c r="AO83" s="153">
        <f>IF(P$33&gt;=$F83,$AD83-SUM($G83:P83),0)</f>
        <v>0</v>
      </c>
      <c r="AP83" s="153">
        <f>IF(Q$33&gt;=$F83,$AD83-SUM($G83:Q83),0)</f>
        <v>0</v>
      </c>
      <c r="AQ83" s="153">
        <f>IF(R$33&gt;=$F83,$AD83-SUM($G83:R83),0)</f>
        <v>0</v>
      </c>
      <c r="AR83" s="153">
        <f>IF(S$33&gt;=$F83,$AD83-SUM($G83:S83),0)</f>
        <v>0</v>
      </c>
      <c r="AS83" s="153">
        <f>IF(T$33&gt;=$F83,$AD83-SUM($G83:T83),0)</f>
        <v>0</v>
      </c>
      <c r="AT83" s="153">
        <f>IF(U$33&gt;=$F83,$AD83-SUM($G83:U83),0)</f>
        <v>0</v>
      </c>
      <c r="AU83" s="153">
        <f>IF(V$33&gt;=$F83,$AD83-SUM($G83:V83),0)</f>
        <v>0</v>
      </c>
      <c r="AV83" s="153">
        <f>IF(W$33&gt;=$F83,$AD83-SUM($G83:W83),0)</f>
        <v>0</v>
      </c>
      <c r="AW83" s="153">
        <f>IF(X$33&gt;=$F83,$AD83-SUM($G83:X83),0)</f>
        <v>0</v>
      </c>
      <c r="AX83" s="153">
        <f ca="1">IF(Y$33&gt;=$F83,$AD83-SUM($G83:Y83),0)</f>
        <v>119.47062752281656</v>
      </c>
      <c r="AY83" s="153">
        <f ca="1">IF(Z$33&gt;=$F83,$AD83-SUM($G83:Z83),0)</f>
        <v>119.47062752281656</v>
      </c>
      <c r="AZ83" s="154">
        <f ca="1">IF(AA$33&gt;=$F83,$AD83-SUM($G83:AA83),0)</f>
        <v>119.47062752281656</v>
      </c>
    </row>
    <row r="84" spans="2:52" x14ac:dyDescent="0.3">
      <c r="B84" s="177">
        <f t="shared" ca="1" si="12"/>
        <v>2351.4711554522369</v>
      </c>
      <c r="C84" s="182">
        <f t="shared" ca="1" si="11"/>
        <v>162.71596150331678</v>
      </c>
      <c r="D84" s="177">
        <f t="shared" ca="1" si="12"/>
        <v>2950.9451359167501</v>
      </c>
      <c r="E84" s="170">
        <f t="shared" ca="1" si="13"/>
        <v>80.435621339260905</v>
      </c>
      <c r="F84" s="157">
        <v>2270</v>
      </c>
      <c r="G84" s="152">
        <f t="shared" si="14"/>
        <v>0</v>
      </c>
      <c r="H84" s="153">
        <f t="shared" si="14"/>
        <v>0</v>
      </c>
      <c r="I84" s="153">
        <f t="shared" si="14"/>
        <v>0</v>
      </c>
      <c r="J84" s="153">
        <f t="shared" si="14"/>
        <v>0</v>
      </c>
      <c r="K84" s="153">
        <f t="shared" si="14"/>
        <v>0</v>
      </c>
      <c r="L84" s="153">
        <f t="shared" si="14"/>
        <v>0</v>
      </c>
      <c r="M84" s="153">
        <f t="shared" si="14"/>
        <v>0</v>
      </c>
      <c r="N84" s="153">
        <f t="shared" si="14"/>
        <v>0</v>
      </c>
      <c r="O84" s="153">
        <f t="shared" si="14"/>
        <v>0</v>
      </c>
      <c r="P84" s="153">
        <f t="shared" si="14"/>
        <v>0</v>
      </c>
      <c r="Q84" s="153">
        <f t="shared" si="15"/>
        <v>0</v>
      </c>
      <c r="R84" s="153">
        <f t="shared" si="15"/>
        <v>0</v>
      </c>
      <c r="S84" s="153">
        <f t="shared" si="15"/>
        <v>0</v>
      </c>
      <c r="T84" s="153">
        <f t="shared" si="15"/>
        <v>0</v>
      </c>
      <c r="U84" s="153">
        <f t="shared" si="15"/>
        <v>0</v>
      </c>
      <c r="V84" s="153">
        <f t="shared" si="15"/>
        <v>0</v>
      </c>
      <c r="W84" s="153">
        <f t="shared" si="15"/>
        <v>0</v>
      </c>
      <c r="X84" s="153">
        <f t="shared" si="15"/>
        <v>0</v>
      </c>
      <c r="Y84" s="153">
        <f t="shared" si="15"/>
        <v>0</v>
      </c>
      <c r="Z84" s="153">
        <f t="shared" ca="1" si="15"/>
        <v>0</v>
      </c>
      <c r="AA84" s="154">
        <f t="shared" ca="1" si="15"/>
        <v>0</v>
      </c>
      <c r="AD84" s="170">
        <f ca="1"/>
        <v>80.435621339260905</v>
      </c>
      <c r="AE84" s="157">
        <v>2270</v>
      </c>
      <c r="AF84" s="152">
        <f>IF(G$33&gt;=$F84,$AD84-SUM($G84:G84),0)</f>
        <v>0</v>
      </c>
      <c r="AG84" s="153">
        <f>IF(H$33&gt;=$F84,$AD84-SUM($G84:H84),0)</f>
        <v>0</v>
      </c>
      <c r="AH84" s="153">
        <f>IF(I$33&gt;=$F84,$AD84-SUM($G84:I84),0)</f>
        <v>0</v>
      </c>
      <c r="AI84" s="153">
        <f>IF(J$33&gt;=$F84,$AD84-SUM($G84:J84),0)</f>
        <v>0</v>
      </c>
      <c r="AJ84" s="153">
        <f>IF(K$33&gt;=$F84,$AD84-SUM($G84:K84),0)</f>
        <v>0</v>
      </c>
      <c r="AK84" s="153">
        <f>IF(L$33&gt;=$F84,$AD84-SUM($G84:L84),0)</f>
        <v>0</v>
      </c>
      <c r="AL84" s="153">
        <f>IF(M$33&gt;=$F84,$AD84-SUM($G84:M84),0)</f>
        <v>0</v>
      </c>
      <c r="AM84" s="153">
        <f>IF(N$33&gt;=$F84,$AD84-SUM($G84:N84),0)</f>
        <v>0</v>
      </c>
      <c r="AN84" s="153">
        <f>IF(O$33&gt;=$F84,$AD84-SUM($G84:O84),0)</f>
        <v>0</v>
      </c>
      <c r="AO84" s="153">
        <f>IF(P$33&gt;=$F84,$AD84-SUM($G84:P84),0)</f>
        <v>0</v>
      </c>
      <c r="AP84" s="153">
        <f>IF(Q$33&gt;=$F84,$AD84-SUM($G84:Q84),0)</f>
        <v>0</v>
      </c>
      <c r="AQ84" s="153">
        <f>IF(R$33&gt;=$F84,$AD84-SUM($G84:R84),0)</f>
        <v>0</v>
      </c>
      <c r="AR84" s="153">
        <f>IF(S$33&gt;=$F84,$AD84-SUM($G84:S84),0)</f>
        <v>0</v>
      </c>
      <c r="AS84" s="153">
        <f>IF(T$33&gt;=$F84,$AD84-SUM($G84:T84),0)</f>
        <v>0</v>
      </c>
      <c r="AT84" s="153">
        <f>IF(U$33&gt;=$F84,$AD84-SUM($G84:U84),0)</f>
        <v>0</v>
      </c>
      <c r="AU84" s="153">
        <f>IF(V$33&gt;=$F84,$AD84-SUM($G84:V84),0)</f>
        <v>0</v>
      </c>
      <c r="AV84" s="153">
        <f>IF(W$33&gt;=$F84,$AD84-SUM($G84:W84),0)</f>
        <v>0</v>
      </c>
      <c r="AW84" s="153">
        <f>IF(X$33&gt;=$F84,$AD84-SUM($G84:X84),0)</f>
        <v>0</v>
      </c>
      <c r="AX84" s="153">
        <f>IF(Y$33&gt;=$F84,$AD84-SUM($G84:Y84),0)</f>
        <v>0</v>
      </c>
      <c r="AY84" s="153">
        <f ca="1">IF(Z$33&gt;=$F84,$AD84-SUM($G84:Z84),0)</f>
        <v>80.435621339260905</v>
      </c>
      <c r="AZ84" s="154">
        <f ca="1">IF(AA$33&gt;=$F84,$AD84-SUM($G84:AA84),0)</f>
        <v>80.435621339260905</v>
      </c>
    </row>
    <row r="85" spans="2:52" ht="15" thickBot="1" x14ac:dyDescent="0.35">
      <c r="B85" s="181">
        <f t="shared" ca="1" si="12"/>
        <v>2524.9659198227587</v>
      </c>
      <c r="C85" s="183">
        <f t="shared" ca="1" si="11"/>
        <v>173.49476437052175</v>
      </c>
      <c r="D85" s="181">
        <f t="shared" ca="1" si="12"/>
        <v>3020.5861076747219</v>
      </c>
      <c r="E85" s="174">
        <f t="shared" ca="1" si="13"/>
        <v>69.640971757971968</v>
      </c>
      <c r="F85" s="158">
        <v>2280</v>
      </c>
      <c r="G85" s="155">
        <f t="shared" si="14"/>
        <v>0</v>
      </c>
      <c r="H85" s="148">
        <f t="shared" si="14"/>
        <v>0</v>
      </c>
      <c r="I85" s="148">
        <f t="shared" si="14"/>
        <v>0</v>
      </c>
      <c r="J85" s="148">
        <f t="shared" si="14"/>
        <v>0</v>
      </c>
      <c r="K85" s="148">
        <f t="shared" si="14"/>
        <v>0</v>
      </c>
      <c r="L85" s="148">
        <f t="shared" si="14"/>
        <v>0</v>
      </c>
      <c r="M85" s="148">
        <f t="shared" si="14"/>
        <v>0</v>
      </c>
      <c r="N85" s="148">
        <f t="shared" si="14"/>
        <v>0</v>
      </c>
      <c r="O85" s="148">
        <f t="shared" si="14"/>
        <v>0</v>
      </c>
      <c r="P85" s="148">
        <f t="shared" si="14"/>
        <v>0</v>
      </c>
      <c r="Q85" s="148">
        <f t="shared" si="15"/>
        <v>0</v>
      </c>
      <c r="R85" s="148">
        <f t="shared" si="15"/>
        <v>0</v>
      </c>
      <c r="S85" s="148">
        <f t="shared" si="15"/>
        <v>0</v>
      </c>
      <c r="T85" s="148">
        <f t="shared" si="15"/>
        <v>0</v>
      </c>
      <c r="U85" s="148">
        <f t="shared" si="15"/>
        <v>0</v>
      </c>
      <c r="V85" s="148">
        <f t="shared" si="15"/>
        <v>0</v>
      </c>
      <c r="W85" s="148">
        <f t="shared" si="15"/>
        <v>0</v>
      </c>
      <c r="X85" s="148">
        <f t="shared" si="15"/>
        <v>0</v>
      </c>
      <c r="Y85" s="148">
        <f t="shared" si="15"/>
        <v>0</v>
      </c>
      <c r="Z85" s="148">
        <f t="shared" si="15"/>
        <v>0</v>
      </c>
      <c r="AA85" s="156">
        <f t="shared" ca="1" si="15"/>
        <v>0</v>
      </c>
      <c r="AD85" s="174">
        <f ca="1"/>
        <v>69.640971757971968</v>
      </c>
      <c r="AE85" s="158">
        <v>2280</v>
      </c>
      <c r="AF85" s="155">
        <f>IF(G$33&gt;=$F85,$AD85-SUM($G85:G85),0)</f>
        <v>0</v>
      </c>
      <c r="AG85" s="148">
        <f>IF(H$33&gt;=$F85,$AD85-SUM($G85:H85),0)</f>
        <v>0</v>
      </c>
      <c r="AH85" s="148">
        <f>IF(I$33&gt;=$F85,$AD85-SUM($G85:I85),0)</f>
        <v>0</v>
      </c>
      <c r="AI85" s="148">
        <f>IF(J$33&gt;=$F85,$AD85-SUM($G85:J85),0)</f>
        <v>0</v>
      </c>
      <c r="AJ85" s="148">
        <f>IF(K$33&gt;=$F85,$AD85-SUM($G85:K85),0)</f>
        <v>0</v>
      </c>
      <c r="AK85" s="148">
        <f>IF(L$33&gt;=$F85,$AD85-SUM($G85:L85),0)</f>
        <v>0</v>
      </c>
      <c r="AL85" s="148">
        <f>IF(M$33&gt;=$F85,$AD85-SUM($G85:M85),0)</f>
        <v>0</v>
      </c>
      <c r="AM85" s="148">
        <f>IF(N$33&gt;=$F85,$AD85-SUM($G85:N85),0)</f>
        <v>0</v>
      </c>
      <c r="AN85" s="148">
        <f>IF(O$33&gt;=$F85,$AD85-SUM($G85:O85),0)</f>
        <v>0</v>
      </c>
      <c r="AO85" s="148">
        <f>IF(P$33&gt;=$F85,$AD85-SUM($G85:P85),0)</f>
        <v>0</v>
      </c>
      <c r="AP85" s="148">
        <f>IF(Q$33&gt;=$F85,$AD85-SUM($G85:Q85),0)</f>
        <v>0</v>
      </c>
      <c r="AQ85" s="148">
        <f>IF(R$33&gt;=$F85,$AD85-SUM($G85:R85),0)</f>
        <v>0</v>
      </c>
      <c r="AR85" s="148">
        <f>IF(S$33&gt;=$F85,$AD85-SUM($G85:S85),0)</f>
        <v>0</v>
      </c>
      <c r="AS85" s="148">
        <f>IF(T$33&gt;=$F85,$AD85-SUM($G85:T85),0)</f>
        <v>0</v>
      </c>
      <c r="AT85" s="148">
        <f>IF(U$33&gt;=$F85,$AD85-SUM($G85:U85),0)</f>
        <v>0</v>
      </c>
      <c r="AU85" s="148">
        <f>IF(V$33&gt;=$F85,$AD85-SUM($G85:V85),0)</f>
        <v>0</v>
      </c>
      <c r="AV85" s="148">
        <f>IF(W$33&gt;=$F85,$AD85-SUM($G85:W85),0)</f>
        <v>0</v>
      </c>
      <c r="AW85" s="148">
        <f>IF(X$33&gt;=$F85,$AD85-SUM($G85:X85),0)</f>
        <v>0</v>
      </c>
      <c r="AX85" s="148">
        <f>IF(Y$33&gt;=$F85,$AD85-SUM($G85:Y85),0)</f>
        <v>0</v>
      </c>
      <c r="AY85" s="148">
        <f>IF(Z$33&gt;=$F85,$AD85-SUM($G85:Z85),0)</f>
        <v>0</v>
      </c>
      <c r="AZ85" s="156">
        <f ca="1">IF(AA$33&gt;=$F85,$AD85-SUM($G85:AA85),0)</f>
        <v>69.640971757971968</v>
      </c>
    </row>
    <row r="86" spans="2:52" ht="15" thickTop="1" x14ac:dyDescent="0.3">
      <c r="C86" s="170">
        <f ca="1">SUM(C65:C85)</f>
        <v>2524.9659198227587</v>
      </c>
      <c r="D86" s="175"/>
      <c r="E86" s="170">
        <f ca="1">SUM(E64:E85)</f>
        <v>3020.5861076747219</v>
      </c>
      <c r="F86" s="105" t="s">
        <v>75</v>
      </c>
      <c r="G86" s="173">
        <f>SUM(G65:G85)</f>
        <v>0</v>
      </c>
      <c r="H86" s="173">
        <f t="shared" ref="H86:AA86" ca="1" si="16">SUM(H65:H85)</f>
        <v>0</v>
      </c>
      <c r="I86" s="173">
        <f t="shared" ca="1" si="16"/>
        <v>0</v>
      </c>
      <c r="J86" s="173">
        <f t="shared" ca="1" si="16"/>
        <v>0</v>
      </c>
      <c r="K86" s="173">
        <f t="shared" ca="1" si="16"/>
        <v>0</v>
      </c>
      <c r="L86" s="173">
        <f t="shared" ca="1" si="16"/>
        <v>0</v>
      </c>
      <c r="M86" s="173">
        <f t="shared" ca="1" si="16"/>
        <v>115.04703334995268</v>
      </c>
      <c r="N86" s="173">
        <f t="shared" ca="1" si="16"/>
        <v>257.84901175190595</v>
      </c>
      <c r="O86" s="173">
        <f t="shared" ca="1" si="16"/>
        <v>271.23381755758112</v>
      </c>
      <c r="P86" s="173">
        <f t="shared" ca="1" si="16"/>
        <v>194.10332675175238</v>
      </c>
      <c r="Q86" s="173">
        <f t="shared" ca="1" si="16"/>
        <v>102.8068789159622</v>
      </c>
      <c r="R86" s="173">
        <f t="shared" ca="1" si="16"/>
        <v>41.65638950257167</v>
      </c>
      <c r="S86" s="173">
        <f t="shared" ca="1" si="16"/>
        <v>26.362025554472304</v>
      </c>
      <c r="T86" s="173">
        <f t="shared" ca="1" si="16"/>
        <v>63.32952770854773</v>
      </c>
      <c r="U86" s="173">
        <f t="shared" ca="1" si="16"/>
        <v>128.89540496979856</v>
      </c>
      <c r="V86" s="173">
        <f t="shared" ca="1" si="16"/>
        <v>184.53676743412933</v>
      </c>
      <c r="W86" s="173">
        <f t="shared" ca="1" si="16"/>
        <v>197.32173860275097</v>
      </c>
      <c r="X86" s="173">
        <f t="shared" ca="1" si="16"/>
        <v>167.89696495524814</v>
      </c>
      <c r="Y86" s="173">
        <f t="shared" ca="1" si="16"/>
        <v>119.47062752281656</v>
      </c>
      <c r="Z86" s="173">
        <f t="shared" ca="1" si="16"/>
        <v>80.435621339260905</v>
      </c>
      <c r="AA86" s="173">
        <f t="shared" ca="1" si="16"/>
        <v>69.640971757971968</v>
      </c>
      <c r="AD86" s="170">
        <f ca="1">SUM(AD64:AD85)</f>
        <v>3020.5861076747219</v>
      </c>
      <c r="AE86" s="157" t="s">
        <v>75</v>
      </c>
      <c r="AF86" s="173">
        <f>SUM(AF65:AF85)</f>
        <v>1000</v>
      </c>
      <c r="AG86" s="173">
        <f t="shared" ref="AG86:AZ86" ca="1" si="17">SUM(AG65:AG85)</f>
        <v>1000</v>
      </c>
      <c r="AH86" s="173">
        <f t="shared" ca="1" si="17"/>
        <v>1000</v>
      </c>
      <c r="AI86" s="173">
        <f t="shared" ca="1" si="17"/>
        <v>1000</v>
      </c>
      <c r="AJ86" s="173">
        <f t="shared" ca="1" si="17"/>
        <v>1000</v>
      </c>
      <c r="AK86" s="173">
        <f t="shared" ca="1" si="17"/>
        <v>1000</v>
      </c>
      <c r="AL86" s="173">
        <f t="shared" ca="1" si="17"/>
        <v>1000</v>
      </c>
      <c r="AM86" s="173">
        <f t="shared" ca="1" si="17"/>
        <v>1000</v>
      </c>
      <c r="AN86" s="173">
        <f t="shared" ca="1" si="17"/>
        <v>999.99999999999989</v>
      </c>
      <c r="AO86" s="173">
        <f t="shared" ca="1" si="17"/>
        <v>1000</v>
      </c>
      <c r="AP86" s="173">
        <f t="shared" ca="1" si="17"/>
        <v>1000</v>
      </c>
      <c r="AQ86" s="173">
        <f t="shared" ca="1" si="17"/>
        <v>999.99999999999989</v>
      </c>
      <c r="AR86" s="173">
        <f t="shared" ca="1" si="17"/>
        <v>1000</v>
      </c>
      <c r="AS86" s="173">
        <f t="shared" ca="1" si="17"/>
        <v>999.99999999999989</v>
      </c>
      <c r="AT86" s="173">
        <f t="shared" ca="1" si="17"/>
        <v>1000</v>
      </c>
      <c r="AU86" s="173">
        <f t="shared" ca="1" si="17"/>
        <v>1000</v>
      </c>
      <c r="AV86" s="173">
        <f t="shared" ca="1" si="17"/>
        <v>1000.0000000000001</v>
      </c>
      <c r="AW86" s="173">
        <f t="shared" ca="1" si="17"/>
        <v>1000</v>
      </c>
      <c r="AX86" s="173">
        <f t="shared" ca="1" si="17"/>
        <v>1000</v>
      </c>
      <c r="AY86" s="173">
        <f t="shared" ca="1" si="17"/>
        <v>1000</v>
      </c>
      <c r="AZ86" s="173">
        <f t="shared" ca="1" si="17"/>
        <v>1000.0000000000001</v>
      </c>
    </row>
    <row r="87" spans="2:52" x14ac:dyDescent="0.3">
      <c r="E87" s="163"/>
      <c r="AD87" s="163"/>
      <c r="AE87" s="106"/>
    </row>
  </sheetData>
  <mergeCells count="3">
    <mergeCell ref="B63:C63"/>
    <mergeCell ref="D63:E63"/>
    <mergeCell ref="D32:E32"/>
  </mergeCells>
  <conditionalFormatting sqref="F5:Z5">
    <cfRule type="colorScale" priority="48">
      <colorScale>
        <cfvo type="min"/>
        <cfvo type="max"/>
        <color rgb="FFFCFCFF"/>
        <color rgb="FFF8696B"/>
      </colorScale>
    </cfRule>
  </conditionalFormatting>
  <conditionalFormatting sqref="F10:Z10 F5:Z5">
    <cfRule type="colorScale" priority="49">
      <colorScale>
        <cfvo type="min"/>
        <cfvo type="max"/>
        <color rgb="FFFCFCFF"/>
        <color rgb="FF63BE7B"/>
      </colorScale>
    </cfRule>
  </conditionalFormatting>
  <conditionalFormatting sqref="G34:AA54">
    <cfRule type="colorScale" priority="13">
      <colorScale>
        <cfvo type="min"/>
        <cfvo type="max"/>
        <color rgb="FFFCFCFF"/>
        <color rgb="FFF8696B"/>
      </colorScale>
    </cfRule>
    <cfRule type="colorScale" priority="14">
      <colorScale>
        <cfvo type="min"/>
        <cfvo type="max"/>
        <color rgb="FFFCFCFF"/>
        <color rgb="FFF8696B"/>
      </colorScale>
    </cfRule>
    <cfRule type="colorScale" priority="15">
      <colorScale>
        <cfvo type="min"/>
        <cfvo type="max"/>
        <color rgb="FFFCFCFF"/>
        <color rgb="FF63BE7B"/>
      </colorScale>
    </cfRule>
  </conditionalFormatting>
  <conditionalFormatting sqref="G55:AA55">
    <cfRule type="colorScale" priority="42">
      <colorScale>
        <cfvo type="min"/>
        <cfvo type="max"/>
        <color rgb="FFFCFCFF"/>
        <color rgb="FFF8696B"/>
      </colorScale>
    </cfRule>
  </conditionalFormatting>
  <conditionalFormatting sqref="G65:AA85">
    <cfRule type="colorScale" priority="2">
      <colorScale>
        <cfvo type="min"/>
        <cfvo type="max"/>
        <color rgb="FFFCFCFF"/>
        <color rgb="FFF8696B"/>
      </colorScale>
    </cfRule>
    <cfRule type="colorScale" priority="3">
      <colorScale>
        <cfvo type="min"/>
        <cfvo type="max"/>
        <color rgb="FFFCFCFF"/>
        <color rgb="FF63BE7B"/>
      </colorScale>
    </cfRule>
  </conditionalFormatting>
  <conditionalFormatting sqref="G65:AA86">
    <cfRule type="colorScale" priority="1">
      <colorScale>
        <cfvo type="min"/>
        <cfvo type="max"/>
        <color rgb="FFFCFCFF"/>
        <color rgb="FF63BE7B"/>
      </colorScale>
    </cfRule>
  </conditionalFormatting>
  <conditionalFormatting sqref="H31:AA31">
    <cfRule type="colorScale" priority="30">
      <colorScale>
        <cfvo type="min"/>
        <cfvo type="max"/>
        <color rgb="FFFCFCFF"/>
        <color rgb="FFF8696B"/>
      </colorScale>
    </cfRule>
  </conditionalFormatting>
  <conditionalFormatting sqref="H62:AA62">
    <cfRule type="colorScale" priority="11">
      <colorScale>
        <cfvo type="min"/>
        <cfvo type="max"/>
        <color rgb="FFFCFCFF"/>
        <color rgb="FFF8696B"/>
      </colorScale>
    </cfRule>
  </conditionalFormatting>
  <conditionalFormatting sqref="AF34:AZ54">
    <cfRule type="colorScale" priority="18">
      <colorScale>
        <cfvo type="min"/>
        <cfvo type="max"/>
        <color rgb="FFFCFCFF"/>
        <color rgb="FFF8696B"/>
      </colorScale>
    </cfRule>
    <cfRule type="colorScale" priority="19">
      <colorScale>
        <cfvo type="min"/>
        <cfvo type="max"/>
        <color rgb="FFFCFCFF"/>
        <color rgb="FF63BE7B"/>
      </colorScale>
    </cfRule>
  </conditionalFormatting>
  <conditionalFormatting sqref="AF34:AZ55">
    <cfRule type="colorScale" priority="16">
      <colorScale>
        <cfvo type="min"/>
        <cfvo type="max"/>
        <color rgb="FFFCFCFF"/>
        <color rgb="FFF8696B"/>
      </colorScale>
    </cfRule>
  </conditionalFormatting>
  <conditionalFormatting sqref="AF65:AZ85">
    <cfRule type="colorScale" priority="9">
      <colorScale>
        <cfvo type="min"/>
        <cfvo type="max"/>
        <color rgb="FFFCFCFF"/>
        <color rgb="FFF8696B"/>
      </colorScale>
    </cfRule>
    <cfRule type="colorScale" priority="10">
      <colorScale>
        <cfvo type="min"/>
        <cfvo type="max"/>
        <color rgb="FFFCFCFF"/>
        <color rgb="FF63BE7B"/>
      </colorScale>
    </cfRule>
  </conditionalFormatting>
  <conditionalFormatting sqref="AF65:AZ86">
    <cfRule type="colorScale" priority="4">
      <colorScale>
        <cfvo type="min"/>
        <cfvo type="max"/>
        <color rgb="FFFCFCFF"/>
        <color rgb="FF63BE7B"/>
      </colorScale>
    </cfRule>
  </conditionalFormatting>
  <dataValidations count="1">
    <dataValidation type="whole" allowBlank="1" showInputMessage="1" showErrorMessage="1" sqref="G7" xr:uid="{B5F22C05-12D7-4E34-B3BB-31D1057EC9AC}">
      <formula1>0</formula1>
      <formula2>200</formula2>
    </dataValidation>
  </dataValidations>
  <pageMargins left="0.7" right="0.7" top="0.75" bottom="0.75" header="0.3" footer="0.3"/>
  <pageSetup orientation="portrait" r:id="rId1"/>
  <ignoredErrors>
    <ignoredError sqref="C65:C85" formula="1"/>
  </ignoredErrors>
  <drawing r:id="rId2"/>
  <legacyDrawing r:id="rId3"/>
  <extLst>
    <ext xmlns:x14="http://schemas.microsoft.com/office/spreadsheetml/2009/9/main" uri="{05C60535-1F16-4fd2-B633-F4F36F0B64E0}">
      <x14:sparklineGroups xmlns:xm="http://schemas.microsoft.com/office/excel/2006/main">
        <x14:sparklineGroup displayEmptyCellsAs="gap" xr2:uid="{A2952594-7DFB-45D9-8449-59AD6C5B57FB}">
          <x14:colorSeries rgb="FF376092"/>
          <x14:colorNegative rgb="FFD00000"/>
          <x14:colorAxis rgb="FF000000"/>
          <x14:colorMarkers rgb="FFD00000"/>
          <x14:colorFirst rgb="FFD00000"/>
          <x14:colorLast rgb="FFD00000"/>
          <x14:colorHigh rgb="FFD00000"/>
          <x14:colorLow rgb="FFD00000"/>
          <x14:sparklines>
            <x14:sparkline>
              <xm:f>'Hummus Town, constant stock'!G65:AA65</xm:f>
              <xm:sqref>AB65</xm:sqref>
            </x14:sparkline>
            <x14:sparkline>
              <xm:f>'Hummus Town, constant stock'!G66:AA66</xm:f>
              <xm:sqref>AB66</xm:sqref>
            </x14:sparkline>
            <x14:sparkline>
              <xm:f>'Hummus Town, constant stock'!G67:AA67</xm:f>
              <xm:sqref>AB67</xm:sqref>
            </x14:sparkline>
            <x14:sparkline>
              <xm:f>'Hummus Town, constant stock'!G68:AA68</xm:f>
              <xm:sqref>AB68</xm:sqref>
            </x14:sparkline>
            <x14:sparkline>
              <xm:f>'Hummus Town, constant stock'!G69:AA69</xm:f>
              <xm:sqref>AB69</xm:sqref>
            </x14:sparkline>
            <x14:sparkline>
              <xm:f>'Hummus Town, constant stock'!G70:AA70</xm:f>
              <xm:sqref>AB70</xm:sqref>
            </x14:sparkline>
            <x14:sparkline>
              <xm:f>'Hummus Town, constant stock'!G71:AA71</xm:f>
              <xm:sqref>AB71</xm:sqref>
            </x14:sparkline>
            <x14:sparkline>
              <xm:f>'Hummus Town, constant stock'!G72:AA72</xm:f>
              <xm:sqref>AB72</xm:sqref>
            </x14:sparkline>
            <x14:sparkline>
              <xm:f>'Hummus Town, constant stock'!G73:AA73</xm:f>
              <xm:sqref>AB73</xm:sqref>
            </x14:sparkline>
            <x14:sparkline>
              <xm:f>'Hummus Town, constant stock'!G74:AA74</xm:f>
              <xm:sqref>AB74</xm:sqref>
            </x14:sparkline>
            <x14:sparkline>
              <xm:f>'Hummus Town, constant stock'!G75:AA75</xm:f>
              <xm:sqref>AB75</xm:sqref>
            </x14:sparkline>
            <x14:sparkline>
              <xm:f>'Hummus Town, constant stock'!G76:AA76</xm:f>
              <xm:sqref>AB76</xm:sqref>
            </x14:sparkline>
            <x14:sparkline>
              <xm:f>'Hummus Town, constant stock'!G77:AA77</xm:f>
              <xm:sqref>AB77</xm:sqref>
            </x14:sparkline>
            <x14:sparkline>
              <xm:f>'Hummus Town, constant stock'!G78:AA78</xm:f>
              <xm:sqref>AB78</xm:sqref>
            </x14:sparkline>
            <x14:sparkline>
              <xm:f>'Hummus Town, constant stock'!G79:AA79</xm:f>
              <xm:sqref>AB79</xm:sqref>
            </x14:sparkline>
            <x14:sparkline>
              <xm:f>'Hummus Town, constant stock'!G80:AA80</xm:f>
              <xm:sqref>AB80</xm:sqref>
            </x14:sparkline>
            <x14:sparkline>
              <xm:f>'Hummus Town, constant stock'!G81:AA81</xm:f>
              <xm:sqref>AB81</xm:sqref>
            </x14:sparkline>
            <x14:sparkline>
              <xm:f>'Hummus Town, constant stock'!G82:AA82</xm:f>
              <xm:sqref>AB82</xm:sqref>
            </x14:sparkline>
            <x14:sparkline>
              <xm:f>'Hummus Town, constant stock'!G83:AA83</xm:f>
              <xm:sqref>AB83</xm:sqref>
            </x14:sparkline>
            <x14:sparkline>
              <xm:f>'Hummus Town, constant stock'!G84:AA84</xm:f>
              <xm:sqref>AB84</xm:sqref>
            </x14:sparkline>
            <x14:sparkline>
              <xm:f>'Hummus Town, constant stock'!G85:AA85</xm:f>
              <xm:sqref>AB85</xm:sqref>
            </x14:sparkline>
            <x14:sparkline>
              <xm:f>'Hummus Town, constant stock'!G86:AA86</xm:f>
              <xm:sqref>AB86</xm:sqref>
            </x14:sparkline>
          </x14:sparklines>
        </x14:sparklineGroup>
        <x14:sparklineGroup displayEmptyCellsAs="gap" xr2:uid="{DE19A9E9-5F3B-40AF-9FEC-6B78D02AFE1B}">
          <x14:colorSeries rgb="FF376092"/>
          <x14:colorNegative rgb="FFD00000"/>
          <x14:colorAxis rgb="FF000000"/>
          <x14:colorMarkers rgb="FFD00000"/>
          <x14:colorFirst rgb="FFD00000"/>
          <x14:colorLast rgb="FFD00000"/>
          <x14:colorHigh rgb="FFD00000"/>
          <x14:colorLow rgb="FFD00000"/>
          <x14:sparklines>
            <x14:sparkline>
              <xm:f>'Hummus Town, constant stock'!AF65:AZ65</xm:f>
              <xm:sqref>BA65</xm:sqref>
            </x14:sparkline>
            <x14:sparkline>
              <xm:f>'Hummus Town, constant stock'!AF66:AZ66</xm:f>
              <xm:sqref>BA66</xm:sqref>
            </x14:sparkline>
            <x14:sparkline>
              <xm:f>'Hummus Town, constant stock'!AF67:AZ67</xm:f>
              <xm:sqref>BA67</xm:sqref>
            </x14:sparkline>
            <x14:sparkline>
              <xm:f>'Hummus Town, constant stock'!AF68:AZ68</xm:f>
              <xm:sqref>BA68</xm:sqref>
            </x14:sparkline>
            <x14:sparkline>
              <xm:f>'Hummus Town, constant stock'!AF69:AZ69</xm:f>
              <xm:sqref>BA69</xm:sqref>
            </x14:sparkline>
            <x14:sparkline>
              <xm:f>'Hummus Town, constant stock'!AF70:AZ70</xm:f>
              <xm:sqref>BA70</xm:sqref>
            </x14:sparkline>
            <x14:sparkline>
              <xm:f>'Hummus Town, constant stock'!AF71:AZ71</xm:f>
              <xm:sqref>BA71</xm:sqref>
            </x14:sparkline>
            <x14:sparkline>
              <xm:f>'Hummus Town, constant stock'!AF72:AZ72</xm:f>
              <xm:sqref>BA72</xm:sqref>
            </x14:sparkline>
            <x14:sparkline>
              <xm:f>'Hummus Town, constant stock'!AF73:AZ73</xm:f>
              <xm:sqref>BA73</xm:sqref>
            </x14:sparkline>
            <x14:sparkline>
              <xm:f>'Hummus Town, constant stock'!AF74:AZ74</xm:f>
              <xm:sqref>BA74</xm:sqref>
            </x14:sparkline>
            <x14:sparkline>
              <xm:f>'Hummus Town, constant stock'!AF75:AZ75</xm:f>
              <xm:sqref>BA75</xm:sqref>
            </x14:sparkline>
            <x14:sparkline>
              <xm:f>'Hummus Town, constant stock'!AF76:AZ76</xm:f>
              <xm:sqref>BA76</xm:sqref>
            </x14:sparkline>
            <x14:sparkline>
              <xm:f>'Hummus Town, constant stock'!AF77:AZ77</xm:f>
              <xm:sqref>BA77</xm:sqref>
            </x14:sparkline>
            <x14:sparkline>
              <xm:f>'Hummus Town, constant stock'!AF78:AZ78</xm:f>
              <xm:sqref>BA78</xm:sqref>
            </x14:sparkline>
            <x14:sparkline>
              <xm:f>'Hummus Town, constant stock'!AF79:AZ79</xm:f>
              <xm:sqref>BA79</xm:sqref>
            </x14:sparkline>
            <x14:sparkline>
              <xm:f>'Hummus Town, constant stock'!AF80:AZ80</xm:f>
              <xm:sqref>BA80</xm:sqref>
            </x14:sparkline>
            <x14:sparkline>
              <xm:f>'Hummus Town, constant stock'!AF81:AZ81</xm:f>
              <xm:sqref>BA81</xm:sqref>
            </x14:sparkline>
            <x14:sparkline>
              <xm:f>'Hummus Town, constant stock'!AF82:AZ82</xm:f>
              <xm:sqref>BA82</xm:sqref>
            </x14:sparkline>
            <x14:sparkline>
              <xm:f>'Hummus Town, constant stock'!AF83:AZ83</xm:f>
              <xm:sqref>BA83</xm:sqref>
            </x14:sparkline>
            <x14:sparkline>
              <xm:f>'Hummus Town, constant stock'!AF84:AZ84</xm:f>
              <xm:sqref>BA84</xm:sqref>
            </x14:sparkline>
            <x14:sparkline>
              <xm:f>'Hummus Town, constant stock'!AF85:AZ85</xm:f>
              <xm:sqref>BA85</xm:sqref>
            </x14:sparkline>
            <x14:sparkline>
              <xm:f>'Hummus Town, constant stock'!AF86:AZ86</xm:f>
              <xm:sqref>BA86</xm:sqref>
            </x14:sparkline>
          </x14:sparklines>
        </x14:sparklineGroup>
        <x14:sparklineGroup displayEmptyCellsAs="gap" xr2:uid="{EC29934B-9691-4E8D-8B8B-758993C4991E}">
          <x14:colorSeries rgb="FF376092"/>
          <x14:colorNegative rgb="FFD00000"/>
          <x14:colorAxis rgb="FF000000"/>
          <x14:colorMarkers rgb="FFD00000"/>
          <x14:colorFirst rgb="FFD00000"/>
          <x14:colorLast rgb="FFD00000"/>
          <x14:colorHigh rgb="FFD00000"/>
          <x14:colorLow rgb="FFD00000"/>
          <x14:sparklines>
            <x14:sparkline>
              <xm:f>'Hummus Town, constant stock'!G31:AA31</xm:f>
              <xm:sqref>AB31</xm:sqref>
            </x14:sparkline>
          </x14:sparklines>
        </x14:sparklineGroup>
        <x14:sparklineGroup displayEmptyCellsAs="gap" xr2:uid="{DE5CB046-A90A-4095-9E0F-DF53EA5CABEA}">
          <x14:colorSeries rgb="FF376092"/>
          <x14:colorNegative rgb="FFD00000"/>
          <x14:colorAxis rgb="FF000000"/>
          <x14:colorMarkers rgb="FFD00000"/>
          <x14:colorFirst rgb="FFD00000"/>
          <x14:colorLast rgb="FFD00000"/>
          <x14:colorHigh rgb="FFD00000"/>
          <x14:colorLow rgb="FFD00000"/>
          <x14:sparklines>
            <x14:sparkline>
              <xm:f>'Hummus Town, constant stock'!AD65:AD85</xm:f>
              <xm:sqref>AD87</xm:sqref>
            </x14:sparkline>
          </x14:sparklines>
        </x14:sparklineGroup>
        <x14:sparklineGroup displayEmptyCellsAs="gap" xr2:uid="{F6F82129-8743-4557-A5EE-B547B13CFB82}">
          <x14:colorSeries rgb="FF376092"/>
          <x14:colorNegative rgb="FFD00000"/>
          <x14:colorAxis rgb="FF000000"/>
          <x14:colorMarkers rgb="FFD00000"/>
          <x14:colorFirst rgb="FFD00000"/>
          <x14:colorLast rgb="FFD00000"/>
          <x14:colorHigh rgb="FFD00000"/>
          <x14:colorLow rgb="FFD00000"/>
          <x14:sparklines>
            <x14:sparkline>
              <xm:f>'Hummus Town, constant stock'!G62:AA62</xm:f>
              <xm:sqref>AB62</xm:sqref>
            </x14:sparkline>
          </x14:sparklines>
        </x14:sparklineGroup>
        <x14:sparklineGroup displayEmptyCellsAs="gap" xr2:uid="{B9D6ED73-AA9D-473B-9590-BE82AD9129DC}">
          <x14:colorSeries rgb="FF376092"/>
          <x14:colorNegative rgb="FFD00000"/>
          <x14:colorAxis rgb="FF000000"/>
          <x14:colorMarkers rgb="FFD00000"/>
          <x14:colorFirst rgb="FFD00000"/>
          <x14:colorLast rgb="FFD00000"/>
          <x14:colorHigh rgb="FFD00000"/>
          <x14:colorLow rgb="FFD00000"/>
          <x14:sparklines>
            <x14:sparkline>
              <xm:f>'Hummus Town, constant stock'!AD34:AD54</xm:f>
              <xm:sqref>AD56</xm:sqref>
            </x14:sparkline>
          </x14:sparklines>
        </x14:sparklineGroup>
        <x14:sparklineGroup displayEmptyCellsAs="gap" xr2:uid="{BC77F9FE-40A0-46CF-8461-21BE1A399CE3}">
          <x14:colorSeries rgb="FF376092"/>
          <x14:colorNegative rgb="FFD00000"/>
          <x14:colorAxis rgb="FF000000"/>
          <x14:colorMarkers rgb="FFD00000"/>
          <x14:colorFirst rgb="FFD00000"/>
          <x14:colorLast rgb="FFD00000"/>
          <x14:colorHigh rgb="FFD00000"/>
          <x14:colorLow rgb="FFD00000"/>
          <x14:sparklines>
            <x14:sparkline>
              <xm:f>'Hummus Town, constant stock'!AF34:AZ34</xm:f>
              <xm:sqref>BA34</xm:sqref>
            </x14:sparkline>
            <x14:sparkline>
              <xm:f>'Hummus Town, constant stock'!AF35:AZ35</xm:f>
              <xm:sqref>BA35</xm:sqref>
            </x14:sparkline>
            <x14:sparkline>
              <xm:f>'Hummus Town, constant stock'!AF36:AZ36</xm:f>
              <xm:sqref>BA36</xm:sqref>
            </x14:sparkline>
            <x14:sparkline>
              <xm:f>'Hummus Town, constant stock'!AF37:AZ37</xm:f>
              <xm:sqref>BA37</xm:sqref>
            </x14:sparkline>
            <x14:sparkline>
              <xm:f>'Hummus Town, constant stock'!AF38:AZ38</xm:f>
              <xm:sqref>BA38</xm:sqref>
            </x14:sparkline>
            <x14:sparkline>
              <xm:f>'Hummus Town, constant stock'!AF39:AZ39</xm:f>
              <xm:sqref>BA39</xm:sqref>
            </x14:sparkline>
            <x14:sparkline>
              <xm:f>'Hummus Town, constant stock'!AF40:AZ40</xm:f>
              <xm:sqref>BA40</xm:sqref>
            </x14:sparkline>
            <x14:sparkline>
              <xm:f>'Hummus Town, constant stock'!AF41:AZ41</xm:f>
              <xm:sqref>BA41</xm:sqref>
            </x14:sparkline>
            <x14:sparkline>
              <xm:f>'Hummus Town, constant stock'!AF42:AZ42</xm:f>
              <xm:sqref>BA42</xm:sqref>
            </x14:sparkline>
            <x14:sparkline>
              <xm:f>'Hummus Town, constant stock'!AF43:AZ43</xm:f>
              <xm:sqref>BA43</xm:sqref>
            </x14:sparkline>
            <x14:sparkline>
              <xm:f>'Hummus Town, constant stock'!AF44:AZ44</xm:f>
              <xm:sqref>BA44</xm:sqref>
            </x14:sparkline>
            <x14:sparkline>
              <xm:f>'Hummus Town, constant stock'!AF45:AZ45</xm:f>
              <xm:sqref>BA45</xm:sqref>
            </x14:sparkline>
            <x14:sparkline>
              <xm:f>'Hummus Town, constant stock'!AF46:AZ46</xm:f>
              <xm:sqref>BA46</xm:sqref>
            </x14:sparkline>
            <x14:sparkline>
              <xm:f>'Hummus Town, constant stock'!AF47:AZ47</xm:f>
              <xm:sqref>BA47</xm:sqref>
            </x14:sparkline>
            <x14:sparkline>
              <xm:f>'Hummus Town, constant stock'!AF48:AZ48</xm:f>
              <xm:sqref>BA48</xm:sqref>
            </x14:sparkline>
            <x14:sparkline>
              <xm:f>'Hummus Town, constant stock'!AF49:AZ49</xm:f>
              <xm:sqref>BA49</xm:sqref>
            </x14:sparkline>
            <x14:sparkline>
              <xm:f>'Hummus Town, constant stock'!AF50:AZ50</xm:f>
              <xm:sqref>BA50</xm:sqref>
            </x14:sparkline>
            <x14:sparkline>
              <xm:f>'Hummus Town, constant stock'!AF51:AZ51</xm:f>
              <xm:sqref>BA51</xm:sqref>
            </x14:sparkline>
            <x14:sparkline>
              <xm:f>'Hummus Town, constant stock'!AF52:AZ52</xm:f>
              <xm:sqref>BA52</xm:sqref>
            </x14:sparkline>
            <x14:sparkline>
              <xm:f>'Hummus Town, constant stock'!AF53:AZ53</xm:f>
              <xm:sqref>BA53</xm:sqref>
            </x14:sparkline>
            <x14:sparkline>
              <xm:f>'Hummus Town, constant stock'!AF54:AZ54</xm:f>
              <xm:sqref>BA54</xm:sqref>
            </x14:sparkline>
            <x14:sparkline>
              <xm:f>'Hummus Town, constant stock'!AF55:AZ55</xm:f>
              <xm:sqref>BA55</xm:sqref>
            </x14:sparkline>
          </x14:sparklines>
        </x14:sparklineGroup>
        <x14:sparklineGroup displayEmptyCellsAs="gap" xr2:uid="{58727CC2-2DAC-499A-9771-3EFD7E8B7B16}">
          <x14:colorSeries rgb="FF376092"/>
          <x14:colorNegative rgb="FFD00000"/>
          <x14:colorAxis rgb="FF000000"/>
          <x14:colorMarkers rgb="FFD00000"/>
          <x14:colorFirst rgb="FFD00000"/>
          <x14:colorLast rgb="FFD00000"/>
          <x14:colorHigh rgb="FFD00000"/>
          <x14:colorLow rgb="FFD00000"/>
          <x14:sparklines>
            <x14:sparkline>
              <xm:f>'Hummus Town, constant stock'!G34:AA34</xm:f>
              <xm:sqref>AB34</xm:sqref>
            </x14:sparkline>
            <x14:sparkline>
              <xm:f>'Hummus Town, constant stock'!G35:AA35</xm:f>
              <xm:sqref>AB35</xm:sqref>
            </x14:sparkline>
            <x14:sparkline>
              <xm:f>'Hummus Town, constant stock'!G36:AA36</xm:f>
              <xm:sqref>AB36</xm:sqref>
            </x14:sparkline>
            <x14:sparkline>
              <xm:f>'Hummus Town, constant stock'!G37:AA37</xm:f>
              <xm:sqref>AB37</xm:sqref>
            </x14:sparkline>
            <x14:sparkline>
              <xm:f>'Hummus Town, constant stock'!G38:AA38</xm:f>
              <xm:sqref>AB38</xm:sqref>
            </x14:sparkline>
            <x14:sparkline>
              <xm:f>'Hummus Town, constant stock'!G39:AA39</xm:f>
              <xm:sqref>AB39</xm:sqref>
            </x14:sparkline>
            <x14:sparkline>
              <xm:f>'Hummus Town, constant stock'!G40:AA40</xm:f>
              <xm:sqref>AB40</xm:sqref>
            </x14:sparkline>
            <x14:sparkline>
              <xm:f>'Hummus Town, constant stock'!G41:AA41</xm:f>
              <xm:sqref>AB41</xm:sqref>
            </x14:sparkline>
            <x14:sparkline>
              <xm:f>'Hummus Town, constant stock'!G42:AA42</xm:f>
              <xm:sqref>AB42</xm:sqref>
            </x14:sparkline>
            <x14:sparkline>
              <xm:f>'Hummus Town, constant stock'!G43:AA43</xm:f>
              <xm:sqref>AB43</xm:sqref>
            </x14:sparkline>
            <x14:sparkline>
              <xm:f>'Hummus Town, constant stock'!G44:AA44</xm:f>
              <xm:sqref>AB44</xm:sqref>
            </x14:sparkline>
            <x14:sparkline>
              <xm:f>'Hummus Town, constant stock'!G45:AA45</xm:f>
              <xm:sqref>AB45</xm:sqref>
            </x14:sparkline>
            <x14:sparkline>
              <xm:f>'Hummus Town, constant stock'!G46:AA46</xm:f>
              <xm:sqref>AB46</xm:sqref>
            </x14:sparkline>
            <x14:sparkline>
              <xm:f>'Hummus Town, constant stock'!G47:AA47</xm:f>
              <xm:sqref>AB47</xm:sqref>
            </x14:sparkline>
            <x14:sparkline>
              <xm:f>'Hummus Town, constant stock'!G48:AA48</xm:f>
              <xm:sqref>AB48</xm:sqref>
            </x14:sparkline>
            <x14:sparkline>
              <xm:f>'Hummus Town, constant stock'!G49:AA49</xm:f>
              <xm:sqref>AB49</xm:sqref>
            </x14:sparkline>
            <x14:sparkline>
              <xm:f>'Hummus Town, constant stock'!G50:AA50</xm:f>
              <xm:sqref>AB50</xm:sqref>
            </x14:sparkline>
            <x14:sparkline>
              <xm:f>'Hummus Town, constant stock'!G51:AA51</xm:f>
              <xm:sqref>AB51</xm:sqref>
            </x14:sparkline>
            <x14:sparkline>
              <xm:f>'Hummus Town, constant stock'!G52:AA52</xm:f>
              <xm:sqref>AB52</xm:sqref>
            </x14:sparkline>
            <x14:sparkline>
              <xm:f>'Hummus Town, constant stock'!G53:AA53</xm:f>
              <xm:sqref>AB53</xm:sqref>
            </x14:sparkline>
            <x14:sparkline>
              <xm:f>'Hummus Town, constant stock'!G54:AA54</xm:f>
              <xm:sqref>AB54</xm:sqref>
            </x14:sparkline>
            <x14:sparkline>
              <xm:f>'Hummus Town, constant stock'!G55:AA55</xm:f>
              <xm:sqref>AB55</xm:sqref>
            </x14:sparkline>
          </x14:sparklines>
        </x14:sparklineGroup>
        <x14:sparklineGroup displayEmptyCellsAs="gap" xr2:uid="{446C4446-81A3-4999-B9C8-1695EF536BE7}">
          <x14:colorSeries rgb="FF376092"/>
          <x14:colorNegative rgb="FFD00000"/>
          <x14:colorAxis rgb="FF000000"/>
          <x14:colorMarkers rgb="FFD00000"/>
          <x14:colorFirst rgb="FFD00000"/>
          <x14:colorLast rgb="FFD00000"/>
          <x14:colorHigh rgb="FFD00000"/>
          <x14:colorLow rgb="FFD00000"/>
          <x14:sparklines>
            <x14:sparkline>
              <xm:f>'Hummus Town, constant stock'!E34:E54</xm:f>
              <xm:sqref>E56</xm:sqref>
            </x14:sparkline>
          </x14:sparklines>
        </x14:sparklineGroup>
        <x14:sparklineGroup displayEmptyCellsAs="gap" xr2:uid="{C170E8CD-4D41-445B-A66C-13CE7C5020AF}">
          <x14:colorSeries rgb="FF376092"/>
          <x14:colorNegative rgb="FFD00000"/>
          <x14:colorAxis rgb="FF000000"/>
          <x14:colorMarkers rgb="FFD00000"/>
          <x14:colorFirst rgb="FFD00000"/>
          <x14:colorLast rgb="FFD00000"/>
          <x14:colorHigh rgb="FFD00000"/>
          <x14:colorLow rgb="FFD00000"/>
          <x14:sparklines>
            <x14:sparkline>
              <xm:f>'Hummus Town, constant stock'!E65:E85</xm:f>
              <xm:sqref>E87</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EFC1-85E2-416B-B8D3-326E707FFDD7}">
  <dimension ref="B1:AZ83"/>
  <sheetViews>
    <sheetView showGridLines="0" tabSelected="1" zoomScale="60" zoomScaleNormal="60" workbookViewId="0">
      <selection activeCell="F26" sqref="F26"/>
    </sheetView>
  </sheetViews>
  <sheetFormatPr defaultRowHeight="14.4" x14ac:dyDescent="0.3"/>
  <cols>
    <col min="3" max="3" width="14.44140625" customWidth="1"/>
    <col min="5" max="5" width="11.44140625" customWidth="1"/>
    <col min="6" max="6" width="12" customWidth="1"/>
    <col min="30" max="30" width="11.88671875" customWidth="1"/>
  </cols>
  <sheetData>
    <row r="1" spans="2:26" ht="41.1" customHeight="1" x14ac:dyDescent="0.45">
      <c r="E1" s="171" t="s">
        <v>93</v>
      </c>
    </row>
    <row r="2" spans="2:26" ht="41.1" customHeight="1" x14ac:dyDescent="0.45">
      <c r="E2" s="171" t="s">
        <v>118</v>
      </c>
    </row>
    <row r="3" spans="2:26" ht="41.1" customHeight="1" x14ac:dyDescent="0.45">
      <c r="E3" s="171" t="s">
        <v>108</v>
      </c>
    </row>
    <row r="4" spans="2:26" ht="41.1" customHeight="1" thickBot="1" x14ac:dyDescent="0.5">
      <c r="E4" s="171"/>
    </row>
    <row r="5" spans="2:26" x14ac:dyDescent="0.3">
      <c r="B5" s="191" t="s">
        <v>113</v>
      </c>
      <c r="C5" s="125"/>
      <c r="E5" s="159" t="s">
        <v>70</v>
      </c>
      <c r="F5" s="160"/>
      <c r="G5" s="160"/>
      <c r="H5" s="160"/>
      <c r="I5" s="160"/>
      <c r="J5" s="160"/>
      <c r="K5" s="160"/>
      <c r="L5" s="160"/>
      <c r="M5" s="160"/>
      <c r="N5" s="160"/>
      <c r="O5" s="160"/>
      <c r="P5" s="160"/>
      <c r="Q5" s="160"/>
      <c r="R5" s="160"/>
      <c r="S5" s="160"/>
      <c r="T5" s="160"/>
      <c r="U5" s="160"/>
      <c r="V5" s="160"/>
      <c r="W5" s="160"/>
      <c r="X5" s="160"/>
      <c r="Y5" s="160"/>
      <c r="Z5" s="161"/>
    </row>
    <row r="6" spans="2:26" x14ac:dyDescent="0.3">
      <c r="B6" s="192" t="s">
        <v>114</v>
      </c>
      <c r="C6" s="127">
        <f>shift_orig</f>
        <v>10</v>
      </c>
      <c r="E6" s="162" t="s">
        <v>69</v>
      </c>
      <c r="F6" s="106">
        <v>0</v>
      </c>
      <c r="G6" s="106">
        <v>10</v>
      </c>
      <c r="H6" s="106">
        <v>20</v>
      </c>
      <c r="I6" s="106">
        <v>30</v>
      </c>
      <c r="J6" s="106">
        <v>40</v>
      </c>
      <c r="K6" s="106">
        <v>50</v>
      </c>
      <c r="L6" s="106">
        <v>60</v>
      </c>
      <c r="M6" s="106">
        <v>70</v>
      </c>
      <c r="N6" s="106">
        <v>80</v>
      </c>
      <c r="O6" s="106">
        <v>90</v>
      </c>
      <c r="P6" s="106">
        <v>100</v>
      </c>
      <c r="Q6" s="106">
        <v>110</v>
      </c>
      <c r="R6" s="106">
        <v>120</v>
      </c>
      <c r="S6" s="106">
        <v>130</v>
      </c>
      <c r="T6" s="106">
        <v>140</v>
      </c>
      <c r="U6" s="106">
        <v>150</v>
      </c>
      <c r="V6" s="106">
        <v>160</v>
      </c>
      <c r="W6" s="106">
        <v>170</v>
      </c>
      <c r="X6" s="106">
        <v>180</v>
      </c>
      <c r="Y6" s="106">
        <v>190</v>
      </c>
      <c r="Z6" s="163">
        <v>200</v>
      </c>
    </row>
    <row r="7" spans="2:26" x14ac:dyDescent="0.3">
      <c r="B7" s="192" t="s">
        <v>115</v>
      </c>
      <c r="C7" s="127">
        <f>shape_orig</f>
        <v>2</v>
      </c>
      <c r="E7" s="162" t="s">
        <v>111</v>
      </c>
      <c r="F7" s="194">
        <f t="shared" ref="F7:Z7" si="0">IF(F$6&lt;shift_orig,0,_xlfn.WEIBULL.DIST(F$6-shift_orig,shape_orig,scale_orig,TRUE))</f>
        <v>0</v>
      </c>
      <c r="G7" s="194">
        <f t="shared" si="0"/>
        <v>0</v>
      </c>
      <c r="H7" s="194">
        <f t="shared" si="0"/>
        <v>0.1051606831856302</v>
      </c>
      <c r="I7" s="194">
        <f t="shared" si="0"/>
        <v>0.35881961157004544</v>
      </c>
      <c r="J7" s="194">
        <f t="shared" si="0"/>
        <v>0.63212055882855767</v>
      </c>
      <c r="K7" s="194">
        <f t="shared" si="0"/>
        <v>0.83098668459393388</v>
      </c>
      <c r="L7" s="194">
        <f t="shared" si="0"/>
        <v>0.93782347597788374</v>
      </c>
      <c r="M7" s="194">
        <f t="shared" si="0"/>
        <v>0.98168436111126578</v>
      </c>
      <c r="N7" s="194">
        <f t="shared" si="0"/>
        <v>0.9956797605259059</v>
      </c>
      <c r="O7" s="194">
        <f t="shared" si="0"/>
        <v>0.9991840121649278</v>
      </c>
      <c r="P7" s="194">
        <f t="shared" si="0"/>
        <v>0.99987659019591335</v>
      </c>
      <c r="Q7" s="194">
        <f t="shared" si="0"/>
        <v>0.99998505466147525</v>
      </c>
      <c r="R7" s="194">
        <f t="shared" si="0"/>
        <v>0.99999855072111288</v>
      </c>
      <c r="S7" s="194">
        <f t="shared" si="0"/>
        <v>0.99999988746482527</v>
      </c>
      <c r="T7" s="194">
        <f t="shared" si="0"/>
        <v>0.99999999300295406</v>
      </c>
      <c r="U7" s="194">
        <f t="shared" si="0"/>
        <v>0.99999999965163755</v>
      </c>
      <c r="V7" s="194">
        <f t="shared" si="0"/>
        <v>0.99999999998611211</v>
      </c>
      <c r="W7" s="194">
        <f t="shared" si="0"/>
        <v>0.99999999999955669</v>
      </c>
      <c r="X7" s="194">
        <f t="shared" si="0"/>
        <v>0.99999999999998868</v>
      </c>
      <c r="Y7" s="194">
        <f t="shared" si="0"/>
        <v>0.99999999999999978</v>
      </c>
      <c r="Z7" s="194">
        <f t="shared" si="0"/>
        <v>1</v>
      </c>
    </row>
    <row r="8" spans="2:26" ht="15" thickBot="1" x14ac:dyDescent="0.35">
      <c r="B8" s="193" t="s">
        <v>116</v>
      </c>
      <c r="C8" s="136">
        <f>scale_orig</f>
        <v>30</v>
      </c>
      <c r="E8" s="178" t="s">
        <v>112</v>
      </c>
      <c r="F8" s="165">
        <v>0</v>
      </c>
      <c r="G8" s="165">
        <f>G7-F7</f>
        <v>0</v>
      </c>
      <c r="H8" s="165">
        <f t="shared" ref="H8:Z8" si="1">H7-G7</f>
        <v>0.1051606831856302</v>
      </c>
      <c r="I8" s="165">
        <f t="shared" si="1"/>
        <v>0.25365892838441523</v>
      </c>
      <c r="J8" s="165">
        <f t="shared" si="1"/>
        <v>0.27330094725851223</v>
      </c>
      <c r="K8" s="165">
        <f t="shared" si="1"/>
        <v>0.19886612576537621</v>
      </c>
      <c r="L8" s="165">
        <f t="shared" si="1"/>
        <v>0.10683679138394986</v>
      </c>
      <c r="M8" s="165">
        <f t="shared" si="1"/>
        <v>4.3860885133382044E-2</v>
      </c>
      <c r="N8" s="165">
        <f t="shared" si="1"/>
        <v>1.3995399414640119E-2</v>
      </c>
      <c r="O8" s="165">
        <f t="shared" si="1"/>
        <v>3.5042516390219047E-3</v>
      </c>
      <c r="P8" s="165">
        <f t="shared" si="1"/>
        <v>6.9257803098554671E-4</v>
      </c>
      <c r="Q8" s="165">
        <f t="shared" si="1"/>
        <v>1.0846446556189715E-4</v>
      </c>
      <c r="R8" s="165">
        <f t="shared" si="1"/>
        <v>1.3496059637629898E-5</v>
      </c>
      <c r="S8" s="165">
        <f t="shared" si="1"/>
        <v>1.3367437123879E-6</v>
      </c>
      <c r="T8" s="165">
        <f t="shared" si="1"/>
        <v>1.0553812879177116E-7</v>
      </c>
      <c r="U8" s="165">
        <f t="shared" si="1"/>
        <v>6.6486834926493543E-9</v>
      </c>
      <c r="V8" s="165">
        <f t="shared" si="1"/>
        <v>3.344745591604692E-10</v>
      </c>
      <c r="W8" s="165">
        <f t="shared" si="1"/>
        <v>1.3444578783605721E-11</v>
      </c>
      <c r="X8" s="165">
        <f t="shared" si="1"/>
        <v>4.3198777888164841E-13</v>
      </c>
      <c r="Y8" s="165">
        <f t="shared" si="1"/>
        <v>1.1102230246251565E-14</v>
      </c>
      <c r="Z8" s="165">
        <f t="shared" si="1"/>
        <v>0</v>
      </c>
    </row>
    <row r="10" spans="2:26" x14ac:dyDescent="0.3">
      <c r="E10" s="159" t="s">
        <v>72</v>
      </c>
      <c r="F10" s="160"/>
      <c r="G10" s="168">
        <v>40</v>
      </c>
      <c r="H10" s="160" t="s">
        <v>83</v>
      </c>
      <c r="I10" s="160"/>
      <c r="J10" s="160"/>
      <c r="K10" s="160"/>
      <c r="L10" s="160"/>
      <c r="M10" s="160"/>
      <c r="N10" s="160"/>
      <c r="O10" s="160"/>
      <c r="P10" s="160"/>
      <c r="Q10" s="160"/>
      <c r="R10" s="160"/>
      <c r="S10" s="160"/>
      <c r="T10" s="160"/>
      <c r="U10" s="160"/>
      <c r="V10" s="160"/>
      <c r="W10" s="160"/>
      <c r="X10" s="160"/>
      <c r="Y10" s="160"/>
      <c r="Z10" s="161"/>
    </row>
    <row r="11" spans="2:26" x14ac:dyDescent="0.3">
      <c r="E11" s="162" t="s">
        <v>77</v>
      </c>
      <c r="Z11" s="167"/>
    </row>
    <row r="12" spans="2:26" x14ac:dyDescent="0.3">
      <c r="E12" s="162" t="s">
        <v>69</v>
      </c>
      <c r="F12" s="106">
        <v>0</v>
      </c>
      <c r="G12" s="106">
        <v>10</v>
      </c>
      <c r="H12" s="106">
        <v>20</v>
      </c>
      <c r="I12" s="106">
        <v>30</v>
      </c>
      <c r="J12" s="106">
        <v>40</v>
      </c>
      <c r="K12" s="106">
        <v>50</v>
      </c>
      <c r="L12" s="106">
        <v>60</v>
      </c>
      <c r="M12" s="106">
        <v>70</v>
      </c>
      <c r="N12" s="106">
        <v>80</v>
      </c>
      <c r="O12" s="106">
        <v>90</v>
      </c>
      <c r="P12" s="106">
        <v>100</v>
      </c>
      <c r="Q12" s="106">
        <v>110</v>
      </c>
      <c r="R12" s="106">
        <v>120</v>
      </c>
      <c r="S12" s="106">
        <v>130</v>
      </c>
      <c r="T12" s="106">
        <v>140</v>
      </c>
      <c r="U12" s="106">
        <v>150</v>
      </c>
      <c r="V12" s="106">
        <v>160</v>
      </c>
      <c r="W12" s="106">
        <v>170</v>
      </c>
      <c r="X12" s="106">
        <v>180</v>
      </c>
      <c r="Y12" s="106">
        <v>190</v>
      </c>
      <c r="Z12" s="163">
        <v>200</v>
      </c>
    </row>
    <row r="13" spans="2:26" x14ac:dyDescent="0.3">
      <c r="E13" s="164" t="s">
        <v>71</v>
      </c>
      <c r="F13" s="165">
        <f>IFERROR(INDEX($F$8:$O$8,MATCH(F$12-$G$10,$F$6:$O$6,0)),0)</f>
        <v>0</v>
      </c>
      <c r="G13" s="165">
        <f t="shared" ref="G13:Z13" si="2">IFERROR(INDEX($F$8:$O$8,MATCH(G$12-$G$10,$F$6:$O$6,0)),0)</f>
        <v>0</v>
      </c>
      <c r="H13" s="165">
        <f t="shared" si="2"/>
        <v>0</v>
      </c>
      <c r="I13" s="165">
        <f t="shared" si="2"/>
        <v>0</v>
      </c>
      <c r="J13" s="165">
        <f t="shared" si="2"/>
        <v>0</v>
      </c>
      <c r="K13" s="165">
        <f t="shared" si="2"/>
        <v>0</v>
      </c>
      <c r="L13" s="165">
        <f t="shared" si="2"/>
        <v>0.1051606831856302</v>
      </c>
      <c r="M13" s="165">
        <f t="shared" si="2"/>
        <v>0.25365892838441523</v>
      </c>
      <c r="N13" s="165">
        <f t="shared" si="2"/>
        <v>0.27330094725851223</v>
      </c>
      <c r="O13" s="165">
        <f t="shared" si="2"/>
        <v>0.19886612576537621</v>
      </c>
      <c r="P13" s="165">
        <f t="shared" si="2"/>
        <v>0.10683679138394986</v>
      </c>
      <c r="Q13" s="165">
        <f t="shared" si="2"/>
        <v>4.3860885133382044E-2</v>
      </c>
      <c r="R13" s="165">
        <f t="shared" si="2"/>
        <v>1.3995399414640119E-2</v>
      </c>
      <c r="S13" s="165">
        <f t="shared" si="2"/>
        <v>3.5042516390219047E-3</v>
      </c>
      <c r="T13" s="165">
        <f t="shared" si="2"/>
        <v>0</v>
      </c>
      <c r="U13" s="165">
        <f t="shared" si="2"/>
        <v>0</v>
      </c>
      <c r="V13" s="165">
        <f t="shared" si="2"/>
        <v>0</v>
      </c>
      <c r="W13" s="165">
        <f t="shared" si="2"/>
        <v>0</v>
      </c>
      <c r="X13" s="165">
        <f t="shared" si="2"/>
        <v>0</v>
      </c>
      <c r="Y13" s="165">
        <f t="shared" si="2"/>
        <v>0</v>
      </c>
      <c r="Z13" s="166">
        <f t="shared" si="2"/>
        <v>0</v>
      </c>
    </row>
    <row r="31" spans="7:32" x14ac:dyDescent="0.3">
      <c r="G31" s="106" t="s">
        <v>76</v>
      </c>
      <c r="AF31" s="106" t="s">
        <v>80</v>
      </c>
    </row>
    <row r="32" spans="7:32" x14ac:dyDescent="0.3">
      <c r="G32" s="106" t="s">
        <v>79</v>
      </c>
      <c r="AF32" s="106" t="s">
        <v>82</v>
      </c>
    </row>
    <row r="33" spans="5:52" x14ac:dyDescent="0.3">
      <c r="E33" s="163" t="s">
        <v>74</v>
      </c>
      <c r="F33" s="106" t="s">
        <v>73</v>
      </c>
      <c r="G33" s="106">
        <v>2080</v>
      </c>
      <c r="H33" s="106">
        <v>2090</v>
      </c>
      <c r="I33" s="106">
        <v>2100</v>
      </c>
      <c r="J33" s="106">
        <v>2110</v>
      </c>
      <c r="K33" s="106">
        <v>2120</v>
      </c>
      <c r="L33" s="106">
        <v>2130</v>
      </c>
      <c r="M33" s="106">
        <v>2140</v>
      </c>
      <c r="N33" s="106">
        <v>2150</v>
      </c>
      <c r="O33" s="106">
        <v>2160</v>
      </c>
      <c r="P33" s="106">
        <v>2170</v>
      </c>
      <c r="Q33" s="106">
        <v>2180</v>
      </c>
      <c r="R33" s="106">
        <v>2190</v>
      </c>
      <c r="S33" s="106">
        <v>2200</v>
      </c>
      <c r="T33" s="106">
        <v>2210</v>
      </c>
      <c r="U33" s="106">
        <v>2220</v>
      </c>
      <c r="V33" s="106">
        <v>2230</v>
      </c>
      <c r="W33" s="106">
        <v>2240</v>
      </c>
      <c r="X33" s="106">
        <v>2250</v>
      </c>
      <c r="Y33" s="106">
        <v>2260</v>
      </c>
      <c r="Z33" s="106">
        <v>2270</v>
      </c>
      <c r="AA33" s="106">
        <v>2280</v>
      </c>
      <c r="AD33" s="163" t="s">
        <v>74</v>
      </c>
      <c r="AE33" s="106" t="s">
        <v>73</v>
      </c>
      <c r="AF33" s="106">
        <v>2080</v>
      </c>
      <c r="AG33" s="106">
        <v>2090</v>
      </c>
      <c r="AH33" s="106">
        <v>2100</v>
      </c>
      <c r="AI33" s="106">
        <v>2110</v>
      </c>
      <c r="AJ33" s="106">
        <v>2120</v>
      </c>
      <c r="AK33" s="106">
        <v>2130</v>
      </c>
      <c r="AL33" s="106">
        <v>2140</v>
      </c>
      <c r="AM33" s="106">
        <v>2150</v>
      </c>
      <c r="AN33" s="106">
        <v>2160</v>
      </c>
      <c r="AO33" s="106">
        <v>2170</v>
      </c>
      <c r="AP33" s="106">
        <v>2180</v>
      </c>
      <c r="AQ33" s="106">
        <v>2190</v>
      </c>
      <c r="AR33" s="106">
        <v>2200</v>
      </c>
      <c r="AS33" s="106">
        <v>2210</v>
      </c>
      <c r="AT33" s="106">
        <v>2220</v>
      </c>
      <c r="AU33" s="106">
        <v>2230</v>
      </c>
      <c r="AV33" s="106">
        <v>2240</v>
      </c>
      <c r="AW33" s="106">
        <v>2250</v>
      </c>
      <c r="AX33" s="106">
        <v>2260</v>
      </c>
      <c r="AY33" s="106">
        <v>2270</v>
      </c>
      <c r="AZ33" s="106">
        <v>2280</v>
      </c>
    </row>
    <row r="34" spans="5:52" x14ac:dyDescent="0.3">
      <c r="E34" s="179">
        <v>100</v>
      </c>
      <c r="F34" s="157">
        <v>2080</v>
      </c>
      <c r="G34" s="149">
        <f t="shared" ref="G34:G54" si="3">IF(G$60&gt;=$F34,$E34*INDEX($F$8:$Z$8,MATCH(G$60-$F34,$F$6:$Z$6,0)),0)</f>
        <v>0</v>
      </c>
      <c r="H34" s="150">
        <f t="shared" ref="H34:AA34" si="4">IF(H$60&gt;=$F34,$E34*INDEX($F$8:$Z$8,MATCH(H$60-$F34,$F$6:$Z$6,0)),0)</f>
        <v>0</v>
      </c>
      <c r="I34" s="150">
        <f t="shared" si="4"/>
        <v>10.51606831856302</v>
      </c>
      <c r="J34" s="150">
        <f t="shared" si="4"/>
        <v>25.365892838441521</v>
      </c>
      <c r="K34" s="150">
        <f t="shared" si="4"/>
        <v>27.330094725851222</v>
      </c>
      <c r="L34" s="150">
        <f t="shared" si="4"/>
        <v>19.886612576537622</v>
      </c>
      <c r="M34" s="150">
        <f t="shared" si="4"/>
        <v>10.683679138394986</v>
      </c>
      <c r="N34" s="150">
        <f t="shared" si="4"/>
        <v>4.3860885133382048</v>
      </c>
      <c r="O34" s="150">
        <f t="shared" si="4"/>
        <v>1.3995399414640119</v>
      </c>
      <c r="P34" s="150">
        <f t="shared" si="4"/>
        <v>0.35042516390219047</v>
      </c>
      <c r="Q34" s="150">
        <f t="shared" si="4"/>
        <v>6.9257803098554671E-2</v>
      </c>
      <c r="R34" s="150">
        <f t="shared" si="4"/>
        <v>1.0846446556189715E-2</v>
      </c>
      <c r="S34" s="150">
        <f t="shared" si="4"/>
        <v>1.3496059637629898E-3</v>
      </c>
      <c r="T34" s="150">
        <f t="shared" si="4"/>
        <v>1.3367437123879E-4</v>
      </c>
      <c r="U34" s="150">
        <f t="shared" si="4"/>
        <v>1.0553812879177116E-5</v>
      </c>
      <c r="V34" s="150">
        <f t="shared" si="4"/>
        <v>6.6486834926493543E-7</v>
      </c>
      <c r="W34" s="150">
        <f t="shared" si="4"/>
        <v>3.344745591604692E-8</v>
      </c>
      <c r="X34" s="150">
        <f t="shared" si="4"/>
        <v>1.3444578783605721E-9</v>
      </c>
      <c r="Y34" s="150">
        <f t="shared" si="4"/>
        <v>4.3198777888164841E-11</v>
      </c>
      <c r="Z34" s="150">
        <f t="shared" si="4"/>
        <v>1.1102230246251565E-12</v>
      </c>
      <c r="AA34" s="151">
        <f t="shared" si="4"/>
        <v>0</v>
      </c>
      <c r="AD34" s="163">
        <f t="array" ref="AD34:AD54">$E$34:$E$54</f>
        <v>100</v>
      </c>
      <c r="AE34" s="157">
        <v>2080</v>
      </c>
      <c r="AF34" s="149">
        <f>IF(G$33&gt;=$F34,$AD34-SUM($G34:G34),0)</f>
        <v>100</v>
      </c>
      <c r="AG34" s="150">
        <f>IF(H$33&gt;=$F34,$AD34-SUM($G34:H34),0)</f>
        <v>100</v>
      </c>
      <c r="AH34" s="150">
        <f>IF(I$33&gt;=$F34,$AD34-SUM($G34:I34),0)</f>
        <v>89.483931681436985</v>
      </c>
      <c r="AI34" s="150">
        <f>IF(J$33&gt;=$F34,$AD34-SUM($G34:J34),0)</f>
        <v>64.11803884299546</v>
      </c>
      <c r="AJ34" s="150">
        <f>IF(K$33&gt;=$F34,$AD34-SUM($G34:K34),0)</f>
        <v>36.787944117144235</v>
      </c>
      <c r="AK34" s="150">
        <f>IF(L$33&gt;=$F34,$AD34-SUM($G34:L34),0)</f>
        <v>16.901331540606606</v>
      </c>
      <c r="AL34" s="150">
        <f>IF(M$33&gt;=$F34,$AD34-SUM($G34:M34),0)</f>
        <v>6.2176524022116268</v>
      </c>
      <c r="AM34" s="150">
        <f>IF(N$33&gt;=$F34,$AD34-SUM($G34:N34),0)</f>
        <v>1.8315638888734185</v>
      </c>
      <c r="AN34" s="150">
        <f>IF(O$33&gt;=$F34,$AD34-SUM($G34:O34),0)</f>
        <v>0.4320239474094052</v>
      </c>
      <c r="AO34" s="150">
        <f>IF(P$33&gt;=$F34,$AD34-SUM($G34:P34),0)</f>
        <v>8.1598783507217831E-2</v>
      </c>
      <c r="AP34" s="150">
        <f>IF(Q$33&gt;=$F34,$AD34-SUM($G34:Q34),0)</f>
        <v>1.2340980408666269E-2</v>
      </c>
      <c r="AQ34" s="150">
        <f>IF(R$33&gt;=$F34,$AD34-SUM($G34:R34),0)</f>
        <v>1.4945338524796625E-3</v>
      </c>
      <c r="AR34" s="150">
        <f>IF(S$33&gt;=$F34,$AD34-SUM($G34:S34),0)</f>
        <v>1.4492788871223183E-4</v>
      </c>
      <c r="AS34" s="150">
        <f>IF(T$33&gt;=$F34,$AD34-SUM($G34:T34),0)</f>
        <v>1.1253517470777297E-5</v>
      </c>
      <c r="AT34" s="150">
        <f>IF(U$33&gt;=$F34,$AD34-SUM($G34:U34),0)</f>
        <v>6.9970458582702122E-7</v>
      </c>
      <c r="AU34" s="150">
        <f>IF(V$33&gt;=$F34,$AD34-SUM($G34:V34),0)</f>
        <v>3.4836233453461318E-8</v>
      </c>
      <c r="AV34" s="150">
        <f>IF(W$33&gt;=$F34,$AD34-SUM($G34:W34),0)</f>
        <v>1.3887841987525462E-9</v>
      </c>
      <c r="AW34" s="150">
        <f>IF(X$33&gt;=$F34,$AD34-SUM($G34:X34),0)</f>
        <v>4.432365585671505E-11</v>
      </c>
      <c r="AX34" s="150">
        <f>IF(Y$33&gt;=$F34,$AD34-SUM($G34:Y34),0)</f>
        <v>1.1226575225009583E-12</v>
      </c>
      <c r="AY34" s="150">
        <f>IF(Z$33&gt;=$F34,$AD34-SUM($G34:Z34),0)</f>
        <v>1.4210854715202004E-14</v>
      </c>
      <c r="AZ34" s="151">
        <f>IF(AA$33&gt;=$F34,$AD34-SUM($G34:AA34),0)</f>
        <v>1.4210854715202004E-14</v>
      </c>
    </row>
    <row r="35" spans="5:52" x14ac:dyDescent="0.3">
      <c r="E35" s="179">
        <v>200</v>
      </c>
      <c r="F35" s="157">
        <v>2090</v>
      </c>
      <c r="G35" s="152">
        <f t="shared" si="3"/>
        <v>0</v>
      </c>
      <c r="H35" s="153">
        <f t="shared" ref="H35:Q44" si="5">IF(H$60&gt;=$F35,$E35*INDEX($F$8:$Z$8,MATCH(H$60-$F35,$F$6:$Z$6,0)),0)</f>
        <v>0</v>
      </c>
      <c r="I35" s="153">
        <f t="shared" si="5"/>
        <v>0</v>
      </c>
      <c r="J35" s="153">
        <f t="shared" si="5"/>
        <v>21.03213663712604</v>
      </c>
      <c r="K35" s="153">
        <f t="shared" si="5"/>
        <v>50.731785676883042</v>
      </c>
      <c r="L35" s="153">
        <f t="shared" si="5"/>
        <v>54.660189451702443</v>
      </c>
      <c r="M35" s="153">
        <f t="shared" si="5"/>
        <v>39.773225153075245</v>
      </c>
      <c r="N35" s="153">
        <f t="shared" si="5"/>
        <v>21.367358276789972</v>
      </c>
      <c r="O35" s="153">
        <f t="shared" si="5"/>
        <v>8.7721770266764096</v>
      </c>
      <c r="P35" s="153">
        <f t="shared" si="5"/>
        <v>2.7990798829280239</v>
      </c>
      <c r="Q35" s="153">
        <f t="shared" si="5"/>
        <v>0.70085032780438095</v>
      </c>
      <c r="R35" s="153">
        <f t="shared" ref="R35:AA44" si="6">IF(R$60&gt;=$F35,$E35*INDEX($F$8:$Z$8,MATCH(R$60-$F35,$F$6:$Z$6,0)),0)</f>
        <v>0.13851560619710934</v>
      </c>
      <c r="S35" s="153">
        <f t="shared" si="6"/>
        <v>2.169289311237943E-2</v>
      </c>
      <c r="T35" s="153">
        <f t="shared" si="6"/>
        <v>2.6992119275259796E-3</v>
      </c>
      <c r="U35" s="153">
        <f t="shared" si="6"/>
        <v>2.6734874247758E-4</v>
      </c>
      <c r="V35" s="153">
        <f t="shared" si="6"/>
        <v>2.1107625758354231E-5</v>
      </c>
      <c r="W35" s="153">
        <f t="shared" si="6"/>
        <v>1.3297366985298709E-6</v>
      </c>
      <c r="X35" s="153">
        <f t="shared" si="6"/>
        <v>6.689491183209384E-8</v>
      </c>
      <c r="Y35" s="153">
        <f t="shared" si="6"/>
        <v>2.6889157567211441E-9</v>
      </c>
      <c r="Z35" s="153">
        <f t="shared" si="6"/>
        <v>8.6397555776329682E-11</v>
      </c>
      <c r="AA35" s="154">
        <f t="shared" si="6"/>
        <v>2.2204460492503131E-12</v>
      </c>
      <c r="AD35" s="163">
        <v>200</v>
      </c>
      <c r="AE35" s="157">
        <v>2090</v>
      </c>
      <c r="AF35" s="152">
        <f>IF(G$33&gt;=$F35,$AD35-SUM($G35:G35),0)</f>
        <v>0</v>
      </c>
      <c r="AG35" s="153">
        <f>IF(H$33&gt;=$F35,$AD35-SUM($G35:H35),0)</f>
        <v>200</v>
      </c>
      <c r="AH35" s="153">
        <f>IF(I$33&gt;=$F35,$AD35-SUM($G35:I35),0)</f>
        <v>200</v>
      </c>
      <c r="AI35" s="153">
        <f>IF(J$33&gt;=$F35,$AD35-SUM($G35:J35),0)</f>
        <v>178.96786336287397</v>
      </c>
      <c r="AJ35" s="153">
        <f>IF(K$33&gt;=$F35,$AD35-SUM($G35:K35),0)</f>
        <v>128.23607768599092</v>
      </c>
      <c r="AK35" s="153">
        <f>IF(L$33&gt;=$F35,$AD35-SUM($G35:L35),0)</f>
        <v>73.57588823428847</v>
      </c>
      <c r="AL35" s="153">
        <f>IF(M$33&gt;=$F35,$AD35-SUM($G35:M35),0)</f>
        <v>33.802663081213211</v>
      </c>
      <c r="AM35" s="153">
        <f>IF(N$33&gt;=$F35,$AD35-SUM($G35:N35),0)</f>
        <v>12.435304804423254</v>
      </c>
      <c r="AN35" s="153">
        <f>IF(O$33&gt;=$F35,$AD35-SUM($G35:O35),0)</f>
        <v>3.663127777746837</v>
      </c>
      <c r="AO35" s="153">
        <f>IF(P$33&gt;=$F35,$AD35-SUM($G35:P35),0)</f>
        <v>0.86404789481881039</v>
      </c>
      <c r="AP35" s="153">
        <f>IF(Q$33&gt;=$F35,$AD35-SUM($G35:Q35),0)</f>
        <v>0.16319756701443566</v>
      </c>
      <c r="AQ35" s="153">
        <f>IF(R$33&gt;=$F35,$AD35-SUM($G35:R35),0)</f>
        <v>2.4681960817332538E-2</v>
      </c>
      <c r="AR35" s="153">
        <f>IF(S$33&gt;=$F35,$AD35-SUM($G35:S35),0)</f>
        <v>2.9890677049593251E-3</v>
      </c>
      <c r="AS35" s="153">
        <f>IF(T$33&gt;=$F35,$AD35-SUM($G35:T35),0)</f>
        <v>2.8985577742446367E-4</v>
      </c>
      <c r="AT35" s="153">
        <f>IF(U$33&gt;=$F35,$AD35-SUM($G35:U35),0)</f>
        <v>2.2507034941554593E-5</v>
      </c>
      <c r="AU35" s="153">
        <f>IF(V$33&gt;=$F35,$AD35-SUM($G35:V35),0)</f>
        <v>1.3994091716540424E-6</v>
      </c>
      <c r="AV35" s="153">
        <f>IF(W$33&gt;=$F35,$AD35-SUM($G35:W35),0)</f>
        <v>6.9672466906922637E-8</v>
      </c>
      <c r="AW35" s="153">
        <f>IF(X$33&gt;=$F35,$AD35-SUM($G35:X35),0)</f>
        <v>2.7775683975050924E-9</v>
      </c>
      <c r="AX35" s="153">
        <f>IF(Y$33&gt;=$F35,$AD35-SUM($G35:Y35),0)</f>
        <v>8.8647311713430099E-11</v>
      </c>
      <c r="AY35" s="153">
        <f>IF(Z$33&gt;=$F35,$AD35-SUM($G35:Z35),0)</f>
        <v>2.2453150450019166E-12</v>
      </c>
      <c r="AZ35" s="154">
        <f>IF(AA$33&gt;=$F35,$AD35-SUM($G35:AA35),0)</f>
        <v>2.8421709430404007E-14</v>
      </c>
    </row>
    <row r="36" spans="5:52" x14ac:dyDescent="0.3">
      <c r="E36" s="179">
        <v>300</v>
      </c>
      <c r="F36" s="157">
        <v>2100</v>
      </c>
      <c r="G36" s="152">
        <f t="shared" si="3"/>
        <v>0</v>
      </c>
      <c r="H36" s="153">
        <f t="shared" si="5"/>
        <v>0</v>
      </c>
      <c r="I36" s="153">
        <f t="shared" si="5"/>
        <v>0</v>
      </c>
      <c r="J36" s="153">
        <f t="shared" si="5"/>
        <v>0</v>
      </c>
      <c r="K36" s="153">
        <f t="shared" si="5"/>
        <v>31.548204955689059</v>
      </c>
      <c r="L36" s="153">
        <f t="shared" si="5"/>
        <v>76.097678515324574</v>
      </c>
      <c r="M36" s="153">
        <f t="shared" si="5"/>
        <v>81.990284177553661</v>
      </c>
      <c r="N36" s="153">
        <f t="shared" si="5"/>
        <v>59.65983772961286</v>
      </c>
      <c r="O36" s="153">
        <f t="shared" si="5"/>
        <v>32.051037415184958</v>
      </c>
      <c r="P36" s="153">
        <f t="shared" si="5"/>
        <v>13.158265540014613</v>
      </c>
      <c r="Q36" s="153">
        <f t="shared" si="5"/>
        <v>4.1986198243920363</v>
      </c>
      <c r="R36" s="153">
        <f t="shared" si="6"/>
        <v>1.0512754917065714</v>
      </c>
      <c r="S36" s="153">
        <f t="shared" si="6"/>
        <v>0.20777340929566401</v>
      </c>
      <c r="T36" s="153">
        <f t="shared" si="6"/>
        <v>3.2539339668569145E-2</v>
      </c>
      <c r="U36" s="153">
        <f t="shared" si="6"/>
        <v>4.0488178912889694E-3</v>
      </c>
      <c r="V36" s="153">
        <f t="shared" si="6"/>
        <v>4.0102311371637001E-4</v>
      </c>
      <c r="W36" s="153">
        <f t="shared" si="6"/>
        <v>3.1661438637531347E-5</v>
      </c>
      <c r="X36" s="153">
        <f t="shared" si="6"/>
        <v>1.9946050477948063E-6</v>
      </c>
      <c r="Y36" s="153">
        <f t="shared" si="6"/>
        <v>1.0034236774814076E-7</v>
      </c>
      <c r="Z36" s="153">
        <f t="shared" si="6"/>
        <v>4.0333736350817162E-9</v>
      </c>
      <c r="AA36" s="154">
        <f t="shared" si="6"/>
        <v>1.2959633366449452E-10</v>
      </c>
      <c r="AD36" s="163">
        <v>300</v>
      </c>
      <c r="AE36" s="157">
        <v>2100</v>
      </c>
      <c r="AF36" s="152">
        <f>IF(G$33&gt;=$F36,$AD36-SUM($G36:G36),0)</f>
        <v>0</v>
      </c>
      <c r="AG36" s="153">
        <f>IF(H$33&gt;=$F36,$AD36-SUM($G36:H36),0)</f>
        <v>0</v>
      </c>
      <c r="AH36" s="153">
        <f>IF(I$33&gt;=$F36,$AD36-SUM($G36:I36),0)</f>
        <v>300</v>
      </c>
      <c r="AI36" s="153">
        <f>IF(J$33&gt;=$F36,$AD36-SUM($G36:J36),0)</f>
        <v>300</v>
      </c>
      <c r="AJ36" s="153">
        <f>IF(K$33&gt;=$F36,$AD36-SUM($G36:K36),0)</f>
        <v>268.45179504431093</v>
      </c>
      <c r="AK36" s="153">
        <f>IF(L$33&gt;=$F36,$AD36-SUM($G36:L36),0)</f>
        <v>192.35411652898637</v>
      </c>
      <c r="AL36" s="153">
        <f>IF(M$33&gt;=$F36,$AD36-SUM($G36:M36),0)</f>
        <v>110.36383235143271</v>
      </c>
      <c r="AM36" s="153">
        <f>IF(N$33&gt;=$F36,$AD36-SUM($G36:N36),0)</f>
        <v>50.703994621819845</v>
      </c>
      <c r="AN36" s="153">
        <f>IF(O$33&gt;=$F36,$AD36-SUM($G36:O36),0)</f>
        <v>18.652957206634881</v>
      </c>
      <c r="AO36" s="153">
        <f>IF(P$33&gt;=$F36,$AD36-SUM($G36:P36),0)</f>
        <v>5.4946916666202696</v>
      </c>
      <c r="AP36" s="153">
        <f>IF(Q$33&gt;=$F36,$AD36-SUM($G36:Q36),0)</f>
        <v>1.2960718422282298</v>
      </c>
      <c r="AQ36" s="153">
        <f>IF(R$33&gt;=$F36,$AD36-SUM($G36:R36),0)</f>
        <v>0.24479635052165349</v>
      </c>
      <c r="AR36" s="153">
        <f>IF(S$33&gt;=$F36,$AD36-SUM($G36:S36),0)</f>
        <v>3.7022941225984596E-2</v>
      </c>
      <c r="AS36" s="153">
        <f>IF(T$33&gt;=$F36,$AD36-SUM($G36:T36),0)</f>
        <v>4.4836015574105659E-3</v>
      </c>
      <c r="AT36" s="153">
        <f>IF(U$33&gt;=$F36,$AD36-SUM($G36:U36),0)</f>
        <v>4.3478366609406294E-4</v>
      </c>
      <c r="AU36" s="153">
        <f>IF(V$33&gt;=$F36,$AD36-SUM($G36:V36),0)</f>
        <v>3.3760552355488471E-5</v>
      </c>
      <c r="AV36" s="153">
        <f>IF(W$33&gt;=$F36,$AD36-SUM($G36:W36),0)</f>
        <v>2.0991137148484995E-6</v>
      </c>
      <c r="AW36" s="153">
        <f>IF(X$33&gt;=$F36,$AD36-SUM($G36:X36),0)</f>
        <v>1.0450867193867452E-7</v>
      </c>
      <c r="AX36" s="153">
        <f>IF(Y$33&gt;=$F36,$AD36-SUM($G36:Y36),0)</f>
        <v>4.1662815419840626E-9</v>
      </c>
      <c r="AY36" s="153">
        <f>IF(Z$33&gt;=$F36,$AD36-SUM($G36:Z36),0)</f>
        <v>1.3289991329656914E-10</v>
      </c>
      <c r="AZ36" s="154">
        <f>IF(AA$33&gt;=$F36,$AD36-SUM($G36:AA36),0)</f>
        <v>3.2969182939268649E-12</v>
      </c>
    </row>
    <row r="37" spans="5:52" x14ac:dyDescent="0.3">
      <c r="E37" s="179">
        <v>400</v>
      </c>
      <c r="F37" s="157">
        <v>2110</v>
      </c>
      <c r="G37" s="152">
        <f t="shared" si="3"/>
        <v>0</v>
      </c>
      <c r="H37" s="153">
        <f t="shared" si="5"/>
        <v>0</v>
      </c>
      <c r="I37" s="153">
        <f t="shared" si="5"/>
        <v>0</v>
      </c>
      <c r="J37" s="153">
        <f t="shared" si="5"/>
        <v>0</v>
      </c>
      <c r="K37" s="153">
        <f t="shared" si="5"/>
        <v>0</v>
      </c>
      <c r="L37" s="153">
        <f t="shared" si="5"/>
        <v>42.064273274252081</v>
      </c>
      <c r="M37" s="153">
        <f t="shared" si="5"/>
        <v>101.46357135376608</v>
      </c>
      <c r="N37" s="153">
        <f t="shared" si="5"/>
        <v>109.32037890340489</v>
      </c>
      <c r="O37" s="153">
        <f t="shared" si="5"/>
        <v>79.54645030615049</v>
      </c>
      <c r="P37" s="153">
        <f t="shared" si="5"/>
        <v>42.734716553579943</v>
      </c>
      <c r="Q37" s="153">
        <f t="shared" si="5"/>
        <v>17.544354053352819</v>
      </c>
      <c r="R37" s="153">
        <f t="shared" si="6"/>
        <v>5.5981597658560478</v>
      </c>
      <c r="S37" s="153">
        <f t="shared" si="6"/>
        <v>1.4017006556087619</v>
      </c>
      <c r="T37" s="153">
        <f t="shared" si="6"/>
        <v>0.27703121239421868</v>
      </c>
      <c r="U37" s="153">
        <f t="shared" si="6"/>
        <v>4.338578622475886E-2</v>
      </c>
      <c r="V37" s="153">
        <f t="shared" si="6"/>
        <v>5.3984238550519592E-3</v>
      </c>
      <c r="W37" s="153">
        <f t="shared" si="6"/>
        <v>5.3469748495516001E-4</v>
      </c>
      <c r="X37" s="153">
        <f t="shared" si="6"/>
        <v>4.2215251516708463E-5</v>
      </c>
      <c r="Y37" s="153">
        <f t="shared" si="6"/>
        <v>2.6594733970597417E-6</v>
      </c>
      <c r="Z37" s="153">
        <f t="shared" si="6"/>
        <v>1.3378982366418768E-7</v>
      </c>
      <c r="AA37" s="154">
        <f t="shared" si="6"/>
        <v>5.3778315134422883E-9</v>
      </c>
      <c r="AD37" s="163">
        <v>400</v>
      </c>
      <c r="AE37" s="157">
        <v>2110</v>
      </c>
      <c r="AF37" s="152">
        <f>IF(G$33&gt;=$F37,$AD37-SUM($G37:G37),0)</f>
        <v>0</v>
      </c>
      <c r="AG37" s="153">
        <f>IF(H$33&gt;=$F37,$AD37-SUM($G37:H37),0)</f>
        <v>0</v>
      </c>
      <c r="AH37" s="153">
        <f>IF(I$33&gt;=$F37,$AD37-SUM($G37:I37),0)</f>
        <v>0</v>
      </c>
      <c r="AI37" s="153">
        <f>IF(J$33&gt;=$F37,$AD37-SUM($G37:J37),0)</f>
        <v>400</v>
      </c>
      <c r="AJ37" s="153">
        <f>IF(K$33&gt;=$F37,$AD37-SUM($G37:K37),0)</f>
        <v>400</v>
      </c>
      <c r="AK37" s="153">
        <f>IF(L$33&gt;=$F37,$AD37-SUM($G37:L37),0)</f>
        <v>357.93572672574794</v>
      </c>
      <c r="AL37" s="153">
        <f>IF(M$33&gt;=$F37,$AD37-SUM($G37:M37),0)</f>
        <v>256.47215537198184</v>
      </c>
      <c r="AM37" s="153">
        <f>IF(N$33&gt;=$F37,$AD37-SUM($G37:N37),0)</f>
        <v>147.15177646857694</v>
      </c>
      <c r="AN37" s="153">
        <f>IF(O$33&gt;=$F37,$AD37-SUM($G37:O37),0)</f>
        <v>67.605326162426422</v>
      </c>
      <c r="AO37" s="153">
        <f>IF(P$33&gt;=$F37,$AD37-SUM($G37:P37),0)</f>
        <v>24.870609608846507</v>
      </c>
      <c r="AP37" s="153">
        <f>IF(Q$33&gt;=$F37,$AD37-SUM($G37:Q37),0)</f>
        <v>7.3262555554936739</v>
      </c>
      <c r="AQ37" s="153">
        <f>IF(R$33&gt;=$F37,$AD37-SUM($G37:R37),0)</f>
        <v>1.7280957896376208</v>
      </c>
      <c r="AR37" s="153">
        <f>IF(S$33&gt;=$F37,$AD37-SUM($G37:S37),0)</f>
        <v>0.32639513402887133</v>
      </c>
      <c r="AS37" s="153">
        <f>IF(T$33&gt;=$F37,$AD37-SUM($G37:T37),0)</f>
        <v>4.9363921634665076E-2</v>
      </c>
      <c r="AT37" s="153">
        <f>IF(U$33&gt;=$F37,$AD37-SUM($G37:U37),0)</f>
        <v>5.9781354099186501E-3</v>
      </c>
      <c r="AU37" s="153">
        <f>IF(V$33&gt;=$F37,$AD37-SUM($G37:V37),0)</f>
        <v>5.7971155484892734E-4</v>
      </c>
      <c r="AV37" s="153">
        <f>IF(W$33&gt;=$F37,$AD37-SUM($G37:W37),0)</f>
        <v>4.5014069883109187E-5</v>
      </c>
      <c r="AW37" s="153">
        <f>IF(X$33&gt;=$F37,$AD37-SUM($G37:X37),0)</f>
        <v>2.7988183433080849E-6</v>
      </c>
      <c r="AX37" s="153">
        <f>IF(Y$33&gt;=$F37,$AD37-SUM($G37:Y37),0)</f>
        <v>1.3934493381384527E-7</v>
      </c>
      <c r="AY37" s="153">
        <f>IF(Z$33&gt;=$F37,$AD37-SUM($G37:Z37),0)</f>
        <v>5.5551367950101849E-9</v>
      </c>
      <c r="AZ37" s="154">
        <f>IF(AA$33&gt;=$F37,$AD37-SUM($G37:AA37),0)</f>
        <v>1.772946234268602E-10</v>
      </c>
    </row>
    <row r="38" spans="5:52" x14ac:dyDescent="0.3">
      <c r="E38" s="179">
        <v>500</v>
      </c>
      <c r="F38" s="157">
        <v>2120</v>
      </c>
      <c r="G38" s="152">
        <f t="shared" si="3"/>
        <v>0</v>
      </c>
      <c r="H38" s="153">
        <f t="shared" si="5"/>
        <v>0</v>
      </c>
      <c r="I38" s="153">
        <f t="shared" si="5"/>
        <v>0</v>
      </c>
      <c r="J38" s="153">
        <f t="shared" si="5"/>
        <v>0</v>
      </c>
      <c r="K38" s="153">
        <f t="shared" si="5"/>
        <v>0</v>
      </c>
      <c r="L38" s="153">
        <f t="shared" si="5"/>
        <v>0</v>
      </c>
      <c r="M38" s="153">
        <f t="shared" si="5"/>
        <v>52.580341592815095</v>
      </c>
      <c r="N38" s="153">
        <f t="shared" si="5"/>
        <v>126.82946419220761</v>
      </c>
      <c r="O38" s="153">
        <f t="shared" si="5"/>
        <v>136.65047362925611</v>
      </c>
      <c r="P38" s="153">
        <f t="shared" si="5"/>
        <v>99.433062882688105</v>
      </c>
      <c r="Q38" s="153">
        <f t="shared" si="5"/>
        <v>53.418395691974929</v>
      </c>
      <c r="R38" s="153">
        <f t="shared" si="6"/>
        <v>21.930442566691021</v>
      </c>
      <c r="S38" s="153">
        <f t="shared" si="6"/>
        <v>6.9976997073200593</v>
      </c>
      <c r="T38" s="153">
        <f t="shared" si="6"/>
        <v>1.7521258195109524</v>
      </c>
      <c r="U38" s="153">
        <f t="shared" si="6"/>
        <v>0.34628901549277336</v>
      </c>
      <c r="V38" s="153">
        <f t="shared" si="6"/>
        <v>5.4232232780948575E-2</v>
      </c>
      <c r="W38" s="153">
        <f t="shared" si="6"/>
        <v>6.748029818814949E-3</v>
      </c>
      <c r="X38" s="153">
        <f t="shared" si="6"/>
        <v>6.6837185619395001E-4</v>
      </c>
      <c r="Y38" s="153">
        <f t="shared" si="6"/>
        <v>5.2769064395885579E-5</v>
      </c>
      <c r="Z38" s="153">
        <f t="shared" si="6"/>
        <v>3.3243417463246772E-6</v>
      </c>
      <c r="AA38" s="154">
        <f t="shared" si="6"/>
        <v>1.672372795802346E-7</v>
      </c>
      <c r="AD38" s="163">
        <v>500</v>
      </c>
      <c r="AE38" s="157">
        <v>2120</v>
      </c>
      <c r="AF38" s="152">
        <f>IF(G$33&gt;=$F38,$AD38-SUM($G38:G38),0)</f>
        <v>0</v>
      </c>
      <c r="AG38" s="153">
        <f>IF(H$33&gt;=$F38,$AD38-SUM($G38:H38),0)</f>
        <v>0</v>
      </c>
      <c r="AH38" s="153">
        <f>IF(I$33&gt;=$F38,$AD38-SUM($G38:I38),0)</f>
        <v>0</v>
      </c>
      <c r="AI38" s="153">
        <f>IF(J$33&gt;=$F38,$AD38-SUM($G38:J38),0)</f>
        <v>0</v>
      </c>
      <c r="AJ38" s="153">
        <f>IF(K$33&gt;=$F38,$AD38-SUM($G38:K38),0)</f>
        <v>500</v>
      </c>
      <c r="AK38" s="153">
        <f>IF(L$33&gt;=$F38,$AD38-SUM($G38:L38),0)</f>
        <v>500</v>
      </c>
      <c r="AL38" s="153">
        <f>IF(M$33&gt;=$F38,$AD38-SUM($G38:M38),0)</f>
        <v>447.4196584071849</v>
      </c>
      <c r="AM38" s="153">
        <f>IF(N$33&gt;=$F38,$AD38-SUM($G38:N38),0)</f>
        <v>320.59019421497726</v>
      </c>
      <c r="AN38" s="153">
        <f>IF(O$33&gt;=$F38,$AD38-SUM($G38:O38),0)</f>
        <v>183.93972058572115</v>
      </c>
      <c r="AO38" s="153">
        <f>IF(P$33&gt;=$F38,$AD38-SUM($G38:P38),0)</f>
        <v>84.506657703033056</v>
      </c>
      <c r="AP38" s="153">
        <f>IF(Q$33&gt;=$F38,$AD38-SUM($G38:Q38),0)</f>
        <v>31.088262011058134</v>
      </c>
      <c r="AQ38" s="153">
        <f>IF(R$33&gt;=$F38,$AD38-SUM($G38:R38),0)</f>
        <v>9.157819444367135</v>
      </c>
      <c r="AR38" s="153">
        <f>IF(S$33&gt;=$F38,$AD38-SUM($G38:S38),0)</f>
        <v>2.1601197370470686</v>
      </c>
      <c r="AS38" s="153">
        <f>IF(T$33&gt;=$F38,$AD38-SUM($G38:T38),0)</f>
        <v>0.40799391753608916</v>
      </c>
      <c r="AT38" s="153">
        <f>IF(U$33&gt;=$F38,$AD38-SUM($G38:U38),0)</f>
        <v>6.1704902043288712E-2</v>
      </c>
      <c r="AU38" s="153">
        <f>IF(V$33&gt;=$F38,$AD38-SUM($G38:V38),0)</f>
        <v>7.4726692623130475E-3</v>
      </c>
      <c r="AV38" s="153">
        <f>IF(W$33&gt;=$F38,$AD38-SUM($G38:W38),0)</f>
        <v>7.246394434901049E-4</v>
      </c>
      <c r="AW38" s="153">
        <f>IF(X$33&gt;=$F38,$AD38-SUM($G38:X38),0)</f>
        <v>5.6267587297043065E-5</v>
      </c>
      <c r="AX38" s="153">
        <f>IF(Y$33&gt;=$F38,$AD38-SUM($G38:Y38),0)</f>
        <v>3.4985229149242514E-6</v>
      </c>
      <c r="AY38" s="153">
        <f>IF(Z$33&gt;=$F38,$AD38-SUM($G38:Z38),0)</f>
        <v>1.7418119568901602E-7</v>
      </c>
      <c r="AZ38" s="154">
        <f>IF(AA$33&gt;=$F38,$AD38-SUM($G38:AA38),0)</f>
        <v>6.9439352046174463E-9</v>
      </c>
    </row>
    <row r="39" spans="5:52" x14ac:dyDescent="0.3">
      <c r="E39" s="179">
        <v>600</v>
      </c>
      <c r="F39" s="157">
        <v>2130</v>
      </c>
      <c r="G39" s="152">
        <f t="shared" si="3"/>
        <v>0</v>
      </c>
      <c r="H39" s="153">
        <f t="shared" si="5"/>
        <v>0</v>
      </c>
      <c r="I39" s="153">
        <f t="shared" si="5"/>
        <v>0</v>
      </c>
      <c r="J39" s="153">
        <f t="shared" si="5"/>
        <v>0</v>
      </c>
      <c r="K39" s="153">
        <f t="shared" si="5"/>
        <v>0</v>
      </c>
      <c r="L39" s="153">
        <f t="shared" si="5"/>
        <v>0</v>
      </c>
      <c r="M39" s="153">
        <f t="shared" si="5"/>
        <v>0</v>
      </c>
      <c r="N39" s="153">
        <f t="shared" si="5"/>
        <v>63.096409911378117</v>
      </c>
      <c r="O39" s="153">
        <f t="shared" si="5"/>
        <v>152.19535703064915</v>
      </c>
      <c r="P39" s="153">
        <f t="shared" si="5"/>
        <v>163.98056835510732</v>
      </c>
      <c r="Q39" s="153">
        <f t="shared" si="5"/>
        <v>119.31967545922572</v>
      </c>
      <c r="R39" s="153">
        <f t="shared" si="6"/>
        <v>64.102074830369915</v>
      </c>
      <c r="S39" s="153">
        <f t="shared" si="6"/>
        <v>26.316531080029225</v>
      </c>
      <c r="T39" s="153">
        <f t="shared" si="6"/>
        <v>8.3972396487840726</v>
      </c>
      <c r="U39" s="153">
        <f t="shared" si="6"/>
        <v>2.1025509834131428</v>
      </c>
      <c r="V39" s="153">
        <f t="shared" si="6"/>
        <v>0.41554681859132803</v>
      </c>
      <c r="W39" s="153">
        <f t="shared" si="6"/>
        <v>6.507867933713829E-2</v>
      </c>
      <c r="X39" s="153">
        <f t="shared" si="6"/>
        <v>8.0976357825779388E-3</v>
      </c>
      <c r="Y39" s="153">
        <f t="shared" si="6"/>
        <v>8.0204622743274001E-4</v>
      </c>
      <c r="Z39" s="153">
        <f t="shared" si="6"/>
        <v>6.3322877275062694E-5</v>
      </c>
      <c r="AA39" s="154">
        <f t="shared" si="6"/>
        <v>3.9892100955896126E-6</v>
      </c>
      <c r="AD39" s="163">
        <v>600</v>
      </c>
      <c r="AE39" s="157">
        <v>2130</v>
      </c>
      <c r="AF39" s="152">
        <f>IF(G$33&gt;=$F39,$AD39-SUM($G39:G39),0)</f>
        <v>0</v>
      </c>
      <c r="AG39" s="153">
        <f>IF(H$33&gt;=$F39,$AD39-SUM($G39:H39),0)</f>
        <v>0</v>
      </c>
      <c r="AH39" s="153">
        <f>IF(I$33&gt;=$F39,$AD39-SUM($G39:I39),0)</f>
        <v>0</v>
      </c>
      <c r="AI39" s="153">
        <f>IF(J$33&gt;=$F39,$AD39-SUM($G39:J39),0)</f>
        <v>0</v>
      </c>
      <c r="AJ39" s="153">
        <f>IF(K$33&gt;=$F39,$AD39-SUM($G39:K39),0)</f>
        <v>0</v>
      </c>
      <c r="AK39" s="153">
        <f>IF(L$33&gt;=$F39,$AD39-SUM($G39:L39),0)</f>
        <v>600</v>
      </c>
      <c r="AL39" s="153">
        <f>IF(M$33&gt;=$F39,$AD39-SUM($G39:M39),0)</f>
        <v>600</v>
      </c>
      <c r="AM39" s="153">
        <f>IF(N$33&gt;=$F39,$AD39-SUM($G39:N39),0)</f>
        <v>536.90359008862185</v>
      </c>
      <c r="AN39" s="153">
        <f>IF(O$33&gt;=$F39,$AD39-SUM($G39:O39),0)</f>
        <v>384.70823305797273</v>
      </c>
      <c r="AO39" s="153">
        <f>IF(P$33&gt;=$F39,$AD39-SUM($G39:P39),0)</f>
        <v>220.72766470286541</v>
      </c>
      <c r="AP39" s="153">
        <f>IF(Q$33&gt;=$F39,$AD39-SUM($G39:Q39),0)</f>
        <v>101.40798924363969</v>
      </c>
      <c r="AQ39" s="153">
        <f>IF(R$33&gt;=$F39,$AD39-SUM($G39:R39),0)</f>
        <v>37.305914413269761</v>
      </c>
      <c r="AR39" s="153">
        <f>IF(S$33&gt;=$F39,$AD39-SUM($G39:S39),0)</f>
        <v>10.989383333240539</v>
      </c>
      <c r="AS39" s="153">
        <f>IF(T$33&gt;=$F39,$AD39-SUM($G39:T39),0)</f>
        <v>2.5921436844564596</v>
      </c>
      <c r="AT39" s="153">
        <f>IF(U$33&gt;=$F39,$AD39-SUM($G39:U39),0)</f>
        <v>0.48959270104330699</v>
      </c>
      <c r="AU39" s="153">
        <f>IF(V$33&gt;=$F39,$AD39-SUM($G39:V39),0)</f>
        <v>7.4045882451969192E-2</v>
      </c>
      <c r="AV39" s="153">
        <f>IF(W$33&gt;=$F39,$AD39-SUM($G39:W39),0)</f>
        <v>8.9672031148211317E-3</v>
      </c>
      <c r="AW39" s="153">
        <f>IF(X$33&gt;=$F39,$AD39-SUM($G39:X39),0)</f>
        <v>8.6956733218812587E-4</v>
      </c>
      <c r="AX39" s="153">
        <f>IF(Y$33&gt;=$F39,$AD39-SUM($G39:Y39),0)</f>
        <v>6.7521104710976942E-5</v>
      </c>
      <c r="AY39" s="153">
        <f>IF(Z$33&gt;=$F39,$AD39-SUM($G39:Z39),0)</f>
        <v>4.198227429696999E-6</v>
      </c>
      <c r="AZ39" s="154">
        <f>IF(AA$33&gt;=$F39,$AD39-SUM($G39:AA39),0)</f>
        <v>2.0901734387734905E-7</v>
      </c>
    </row>
    <row r="40" spans="5:52" x14ac:dyDescent="0.3">
      <c r="E40" s="179">
        <v>700</v>
      </c>
      <c r="F40" s="157">
        <v>2140</v>
      </c>
      <c r="G40" s="152">
        <f t="shared" si="3"/>
        <v>0</v>
      </c>
      <c r="H40" s="153">
        <f t="shared" si="5"/>
        <v>0</v>
      </c>
      <c r="I40" s="153">
        <f t="shared" si="5"/>
        <v>0</v>
      </c>
      <c r="J40" s="153">
        <f t="shared" si="5"/>
        <v>0</v>
      </c>
      <c r="K40" s="153">
        <f t="shared" si="5"/>
        <v>0</v>
      </c>
      <c r="L40" s="153">
        <f t="shared" si="5"/>
        <v>0</v>
      </c>
      <c r="M40" s="153">
        <f t="shared" si="5"/>
        <v>0</v>
      </c>
      <c r="N40" s="153">
        <f t="shared" si="5"/>
        <v>0</v>
      </c>
      <c r="O40" s="153">
        <f t="shared" si="5"/>
        <v>73.612478229941132</v>
      </c>
      <c r="P40" s="153">
        <f t="shared" si="5"/>
        <v>177.56124986909066</v>
      </c>
      <c r="Q40" s="153">
        <f t="shared" si="5"/>
        <v>191.31066308095856</v>
      </c>
      <c r="R40" s="153">
        <f t="shared" si="6"/>
        <v>139.20628803576335</v>
      </c>
      <c r="S40" s="153">
        <f t="shared" si="6"/>
        <v>74.785753968764908</v>
      </c>
      <c r="T40" s="153">
        <f t="shared" si="6"/>
        <v>30.70261959336743</v>
      </c>
      <c r="U40" s="153">
        <f t="shared" si="6"/>
        <v>9.7967795902480841</v>
      </c>
      <c r="V40" s="153">
        <f t="shared" si="6"/>
        <v>2.4529761473153333</v>
      </c>
      <c r="W40" s="153">
        <f t="shared" si="6"/>
        <v>0.4848046216898827</v>
      </c>
      <c r="X40" s="153">
        <f t="shared" si="6"/>
        <v>7.5925125893328005E-2</v>
      </c>
      <c r="Y40" s="153">
        <f t="shared" si="6"/>
        <v>9.4472417463409286E-3</v>
      </c>
      <c r="Z40" s="153">
        <f t="shared" si="6"/>
        <v>9.3572059867153001E-4</v>
      </c>
      <c r="AA40" s="154">
        <f t="shared" si="6"/>
        <v>7.387669015423981E-5</v>
      </c>
      <c r="AD40" s="163">
        <v>700</v>
      </c>
      <c r="AE40" s="157">
        <v>2140</v>
      </c>
      <c r="AF40" s="152">
        <f>IF(G$33&gt;=$F40,$AD40-SUM($G40:G40),0)</f>
        <v>0</v>
      </c>
      <c r="AG40" s="153">
        <f>IF(H$33&gt;=$F40,$AD40-SUM($G40:H40),0)</f>
        <v>0</v>
      </c>
      <c r="AH40" s="153">
        <f>IF(I$33&gt;=$F40,$AD40-SUM($G40:I40),0)</f>
        <v>0</v>
      </c>
      <c r="AI40" s="153">
        <f>IF(J$33&gt;=$F40,$AD40-SUM($G40:J40),0)</f>
        <v>0</v>
      </c>
      <c r="AJ40" s="153">
        <f>IF(K$33&gt;=$F40,$AD40-SUM($G40:K40),0)</f>
        <v>0</v>
      </c>
      <c r="AK40" s="153">
        <f>IF(L$33&gt;=$F40,$AD40-SUM($G40:L40),0)</f>
        <v>0</v>
      </c>
      <c r="AL40" s="153">
        <f>IF(M$33&gt;=$F40,$AD40-SUM($G40:M40),0)</f>
        <v>700</v>
      </c>
      <c r="AM40" s="153">
        <f>IF(N$33&gt;=$F40,$AD40-SUM($G40:N40),0)</f>
        <v>700</v>
      </c>
      <c r="AN40" s="153">
        <f>IF(O$33&gt;=$F40,$AD40-SUM($G40:O40),0)</f>
        <v>626.38752177005881</v>
      </c>
      <c r="AO40" s="153">
        <f>IF(P$33&gt;=$F40,$AD40-SUM($G40:P40),0)</f>
        <v>448.82627190096821</v>
      </c>
      <c r="AP40" s="153">
        <f>IF(Q$33&gt;=$F40,$AD40-SUM($G40:Q40),0)</f>
        <v>257.51560882000967</v>
      </c>
      <c r="AQ40" s="153">
        <f>IF(R$33&gt;=$F40,$AD40-SUM($G40:R40),0)</f>
        <v>118.30932078424632</v>
      </c>
      <c r="AR40" s="153">
        <f>IF(S$33&gt;=$F40,$AD40-SUM($G40:S40),0)</f>
        <v>43.523566815481445</v>
      </c>
      <c r="AS40" s="153">
        <f>IF(T$33&gt;=$F40,$AD40-SUM($G40:T40),0)</f>
        <v>12.820947222114</v>
      </c>
      <c r="AT40" s="153">
        <f>IF(U$33&gt;=$F40,$AD40-SUM($G40:U40),0)</f>
        <v>3.0241676318659074</v>
      </c>
      <c r="AU40" s="153">
        <f>IF(V$33&gt;=$F40,$AD40-SUM($G40:V40),0)</f>
        <v>0.57119148455058166</v>
      </c>
      <c r="AV40" s="153">
        <f>IF(W$33&gt;=$F40,$AD40-SUM($G40:W40),0)</f>
        <v>8.6386862860649671E-2</v>
      </c>
      <c r="AW40" s="153">
        <f>IF(X$33&gt;=$F40,$AD40-SUM($G40:X40),0)</f>
        <v>1.0461736967272373E-2</v>
      </c>
      <c r="AX40" s="153">
        <f>IF(Y$33&gt;=$F40,$AD40-SUM($G40:Y40),0)</f>
        <v>1.0144952209429903E-3</v>
      </c>
      <c r="AY40" s="153">
        <f>IF(Z$33&gt;=$F40,$AD40-SUM($G40:Z40),0)</f>
        <v>7.8774622238597658E-5</v>
      </c>
      <c r="AZ40" s="154">
        <f>IF(AA$33&gt;=$F40,$AD40-SUM($G40:AA40),0)</f>
        <v>4.8979320581565844E-6</v>
      </c>
    </row>
    <row r="41" spans="5:52" x14ac:dyDescent="0.3">
      <c r="E41" s="179">
        <v>800</v>
      </c>
      <c r="F41" s="157">
        <v>2150</v>
      </c>
      <c r="G41" s="152">
        <f t="shared" si="3"/>
        <v>0</v>
      </c>
      <c r="H41" s="153">
        <f t="shared" si="5"/>
        <v>0</v>
      </c>
      <c r="I41" s="153">
        <f t="shared" si="5"/>
        <v>0</v>
      </c>
      <c r="J41" s="153">
        <f t="shared" si="5"/>
        <v>0</v>
      </c>
      <c r="K41" s="153">
        <f t="shared" si="5"/>
        <v>0</v>
      </c>
      <c r="L41" s="153">
        <f t="shared" si="5"/>
        <v>0</v>
      </c>
      <c r="M41" s="153">
        <f t="shared" si="5"/>
        <v>0</v>
      </c>
      <c r="N41" s="153">
        <f t="shared" si="5"/>
        <v>0</v>
      </c>
      <c r="O41" s="153">
        <f t="shared" si="5"/>
        <v>0</v>
      </c>
      <c r="P41" s="153">
        <f t="shared" si="5"/>
        <v>84.128546548504161</v>
      </c>
      <c r="Q41" s="153">
        <f t="shared" si="5"/>
        <v>202.92714270753217</v>
      </c>
      <c r="R41" s="153">
        <f t="shared" si="6"/>
        <v>218.64075780680977</v>
      </c>
      <c r="S41" s="153">
        <f t="shared" si="6"/>
        <v>159.09290061230098</v>
      </c>
      <c r="T41" s="153">
        <f t="shared" si="6"/>
        <v>85.469433107159887</v>
      </c>
      <c r="U41" s="153">
        <f t="shared" si="6"/>
        <v>35.088708106705639</v>
      </c>
      <c r="V41" s="153">
        <f t="shared" si="6"/>
        <v>11.196319531712096</v>
      </c>
      <c r="W41" s="153">
        <f t="shared" si="6"/>
        <v>2.8034013112175238</v>
      </c>
      <c r="X41" s="153">
        <f t="shared" si="6"/>
        <v>0.55406242478843737</v>
      </c>
      <c r="Y41" s="153">
        <f t="shared" si="6"/>
        <v>8.677157244951772E-2</v>
      </c>
      <c r="Z41" s="153">
        <f t="shared" si="6"/>
        <v>1.0796847710103918E-2</v>
      </c>
      <c r="AA41" s="154">
        <f t="shared" si="6"/>
        <v>1.06939496991032E-3</v>
      </c>
      <c r="AD41" s="163">
        <v>800</v>
      </c>
      <c r="AE41" s="157">
        <v>2150</v>
      </c>
      <c r="AF41" s="152">
        <f>IF(G$33&gt;=$F41,$AD41-SUM($G41:G41),0)</f>
        <v>0</v>
      </c>
      <c r="AG41" s="153">
        <f>IF(H$33&gt;=$F41,$AD41-SUM($G41:H41),0)</f>
        <v>0</v>
      </c>
      <c r="AH41" s="153">
        <f>IF(I$33&gt;=$F41,$AD41-SUM($G41:I41),0)</f>
        <v>0</v>
      </c>
      <c r="AI41" s="153">
        <f>IF(J$33&gt;=$F41,$AD41-SUM($G41:J41),0)</f>
        <v>0</v>
      </c>
      <c r="AJ41" s="153">
        <f>IF(K$33&gt;=$F41,$AD41-SUM($G41:K41),0)</f>
        <v>0</v>
      </c>
      <c r="AK41" s="153">
        <f>IF(L$33&gt;=$F41,$AD41-SUM($G41:L41),0)</f>
        <v>0</v>
      </c>
      <c r="AL41" s="153">
        <f>IF(M$33&gt;=$F41,$AD41-SUM($G41:M41),0)</f>
        <v>0</v>
      </c>
      <c r="AM41" s="153">
        <f>IF(N$33&gt;=$F41,$AD41-SUM($G41:N41),0)</f>
        <v>800</v>
      </c>
      <c r="AN41" s="153">
        <f>IF(O$33&gt;=$F41,$AD41-SUM($G41:O41),0)</f>
        <v>800</v>
      </c>
      <c r="AO41" s="153">
        <f>IF(P$33&gt;=$F41,$AD41-SUM($G41:P41),0)</f>
        <v>715.87145345149588</v>
      </c>
      <c r="AP41" s="153">
        <f>IF(Q$33&gt;=$F41,$AD41-SUM($G41:Q41),0)</f>
        <v>512.94431074396368</v>
      </c>
      <c r="AQ41" s="153">
        <f>IF(R$33&gt;=$F41,$AD41-SUM($G41:R41),0)</f>
        <v>294.30355293715388</v>
      </c>
      <c r="AR41" s="153">
        <f>IF(S$33&gt;=$F41,$AD41-SUM($G41:S41),0)</f>
        <v>135.21065232485284</v>
      </c>
      <c r="AS41" s="153">
        <f>IF(T$33&gt;=$F41,$AD41-SUM($G41:T41),0)</f>
        <v>49.741219217693015</v>
      </c>
      <c r="AT41" s="153">
        <f>IF(U$33&gt;=$F41,$AD41-SUM($G41:U41),0)</f>
        <v>14.652511110987348</v>
      </c>
      <c r="AU41" s="153">
        <f>IF(V$33&gt;=$F41,$AD41-SUM($G41:V41),0)</f>
        <v>3.4561915792752416</v>
      </c>
      <c r="AV41" s="153">
        <f>IF(W$33&gt;=$F41,$AD41-SUM($G41:W41),0)</f>
        <v>0.65279026805774265</v>
      </c>
      <c r="AW41" s="153">
        <f>IF(X$33&gt;=$F41,$AD41-SUM($G41:X41),0)</f>
        <v>9.8727843269330151E-2</v>
      </c>
      <c r="AX41" s="153">
        <f>IF(Y$33&gt;=$F41,$AD41-SUM($G41:Y41),0)</f>
        <v>1.19562708198373E-2</v>
      </c>
      <c r="AY41" s="153">
        <f>IF(Z$33&gt;=$F41,$AD41-SUM($G41:Z41),0)</f>
        <v>1.1594231096978547E-3</v>
      </c>
      <c r="AZ41" s="154">
        <f>IF(AA$33&gt;=$F41,$AD41-SUM($G41:AA41),0)</f>
        <v>9.0028139766218374E-5</v>
      </c>
    </row>
    <row r="42" spans="5:52" x14ac:dyDescent="0.3">
      <c r="E42" s="179">
        <v>900</v>
      </c>
      <c r="F42" s="157">
        <v>2160</v>
      </c>
      <c r="G42" s="152">
        <f t="shared" si="3"/>
        <v>0</v>
      </c>
      <c r="H42" s="153">
        <f t="shared" si="5"/>
        <v>0</v>
      </c>
      <c r="I42" s="153">
        <f t="shared" si="5"/>
        <v>0</v>
      </c>
      <c r="J42" s="153">
        <f t="shared" si="5"/>
        <v>0</v>
      </c>
      <c r="K42" s="153">
        <f t="shared" si="5"/>
        <v>0</v>
      </c>
      <c r="L42" s="153">
        <f t="shared" si="5"/>
        <v>0</v>
      </c>
      <c r="M42" s="153">
        <f t="shared" si="5"/>
        <v>0</v>
      </c>
      <c r="N42" s="153">
        <f t="shared" si="5"/>
        <v>0</v>
      </c>
      <c r="O42" s="153">
        <f t="shared" si="5"/>
        <v>0</v>
      </c>
      <c r="P42" s="153">
        <f t="shared" si="5"/>
        <v>0</v>
      </c>
      <c r="Q42" s="153">
        <f t="shared" si="5"/>
        <v>94.644614867067176</v>
      </c>
      <c r="R42" s="153">
        <f t="shared" si="6"/>
        <v>228.29303554597371</v>
      </c>
      <c r="S42" s="153">
        <f t="shared" si="6"/>
        <v>245.97085253266101</v>
      </c>
      <c r="T42" s="153">
        <f t="shared" si="6"/>
        <v>178.97951318883858</v>
      </c>
      <c r="U42" s="153">
        <f t="shared" si="6"/>
        <v>96.153112245554865</v>
      </c>
      <c r="V42" s="153">
        <f t="shared" si="6"/>
        <v>39.47479662004384</v>
      </c>
      <c r="W42" s="153">
        <f t="shared" si="6"/>
        <v>12.595859473176107</v>
      </c>
      <c r="X42" s="153">
        <f t="shared" si="6"/>
        <v>3.1538264751197143</v>
      </c>
      <c r="Y42" s="153">
        <f t="shared" si="6"/>
        <v>0.62332022788699204</v>
      </c>
      <c r="Z42" s="153">
        <f t="shared" si="6"/>
        <v>9.7618019005707435E-2</v>
      </c>
      <c r="AA42" s="154">
        <f t="shared" si="6"/>
        <v>1.2146453673866908E-2</v>
      </c>
      <c r="AD42" s="163">
        <v>900</v>
      </c>
      <c r="AE42" s="157">
        <v>2160</v>
      </c>
      <c r="AF42" s="152">
        <f>IF(G$33&gt;=$F42,$AD42-SUM($G42:G42),0)</f>
        <v>0</v>
      </c>
      <c r="AG42" s="153">
        <f>IF(H$33&gt;=$F42,$AD42-SUM($G42:H42),0)</f>
        <v>0</v>
      </c>
      <c r="AH42" s="153">
        <f>IF(I$33&gt;=$F42,$AD42-SUM($G42:I42),0)</f>
        <v>0</v>
      </c>
      <c r="AI42" s="153">
        <f>IF(J$33&gt;=$F42,$AD42-SUM($G42:J42),0)</f>
        <v>0</v>
      </c>
      <c r="AJ42" s="153">
        <f>IF(K$33&gt;=$F42,$AD42-SUM($G42:K42),0)</f>
        <v>0</v>
      </c>
      <c r="AK42" s="153">
        <f>IF(L$33&gt;=$F42,$AD42-SUM($G42:L42),0)</f>
        <v>0</v>
      </c>
      <c r="AL42" s="153">
        <f>IF(M$33&gt;=$F42,$AD42-SUM($G42:M42),0)</f>
        <v>0</v>
      </c>
      <c r="AM42" s="153">
        <f>IF(N$33&gt;=$F42,$AD42-SUM($G42:N42),0)</f>
        <v>0</v>
      </c>
      <c r="AN42" s="153">
        <f>IF(O$33&gt;=$F42,$AD42-SUM($G42:O42),0)</f>
        <v>900</v>
      </c>
      <c r="AO42" s="153">
        <f>IF(P$33&gt;=$F42,$AD42-SUM($G42:P42),0)</f>
        <v>900</v>
      </c>
      <c r="AP42" s="153">
        <f>IF(Q$33&gt;=$F42,$AD42-SUM($G42:Q42),0)</f>
        <v>805.35538513293284</v>
      </c>
      <c r="AQ42" s="153">
        <f>IF(R$33&gt;=$F42,$AD42-SUM($G42:R42),0)</f>
        <v>577.06234958695904</v>
      </c>
      <c r="AR42" s="153">
        <f>IF(S$33&gt;=$F42,$AD42-SUM($G42:S42),0)</f>
        <v>331.09149705429809</v>
      </c>
      <c r="AS42" s="153">
        <f>IF(T$33&gt;=$F42,$AD42-SUM($G42:T42),0)</f>
        <v>152.11198386545948</v>
      </c>
      <c r="AT42" s="153">
        <f>IF(U$33&gt;=$F42,$AD42-SUM($G42:U42),0)</f>
        <v>55.958871619904585</v>
      </c>
      <c r="AU42" s="153">
        <f>IF(V$33&gt;=$F42,$AD42-SUM($G42:V42),0)</f>
        <v>16.484074999860695</v>
      </c>
      <c r="AV42" s="153">
        <f>IF(W$33&gt;=$F42,$AD42-SUM($G42:W42),0)</f>
        <v>3.8882155266845757</v>
      </c>
      <c r="AW42" s="153">
        <f>IF(X$33&gt;=$F42,$AD42-SUM($G42:X42),0)</f>
        <v>0.73438905156490364</v>
      </c>
      <c r="AX42" s="153">
        <f>IF(Y$33&gt;=$F42,$AD42-SUM($G42:Y42),0)</f>
        <v>0.11106882367789694</v>
      </c>
      <c r="AY42" s="153">
        <f>IF(Z$33&gt;=$F42,$AD42-SUM($G42:Z42),0)</f>
        <v>1.3450804672174854E-2</v>
      </c>
      <c r="AZ42" s="154">
        <f>IF(AA$33&gt;=$F42,$AD42-SUM($G42:AA42),0)</f>
        <v>1.3043509983390322E-3</v>
      </c>
    </row>
    <row r="43" spans="5:52" x14ac:dyDescent="0.3">
      <c r="E43" s="179">
        <v>1000</v>
      </c>
      <c r="F43" s="157">
        <v>2170</v>
      </c>
      <c r="G43" s="152">
        <f t="shared" si="3"/>
        <v>0</v>
      </c>
      <c r="H43" s="153">
        <f t="shared" si="5"/>
        <v>0</v>
      </c>
      <c r="I43" s="153">
        <f t="shared" si="5"/>
        <v>0</v>
      </c>
      <c r="J43" s="153">
        <f t="shared" si="5"/>
        <v>0</v>
      </c>
      <c r="K43" s="153">
        <f t="shared" si="5"/>
        <v>0</v>
      </c>
      <c r="L43" s="153">
        <f t="shared" si="5"/>
        <v>0</v>
      </c>
      <c r="M43" s="153">
        <f t="shared" si="5"/>
        <v>0</v>
      </c>
      <c r="N43" s="153">
        <f t="shared" si="5"/>
        <v>0</v>
      </c>
      <c r="O43" s="153">
        <f t="shared" si="5"/>
        <v>0</v>
      </c>
      <c r="P43" s="153">
        <f t="shared" si="5"/>
        <v>0</v>
      </c>
      <c r="Q43" s="153">
        <f t="shared" si="5"/>
        <v>0</v>
      </c>
      <c r="R43" s="153">
        <f t="shared" si="6"/>
        <v>105.16068318563019</v>
      </c>
      <c r="S43" s="153">
        <f t="shared" si="6"/>
        <v>253.65892838441522</v>
      </c>
      <c r="T43" s="153">
        <f t="shared" si="6"/>
        <v>273.30094725851222</v>
      </c>
      <c r="U43" s="153">
        <f t="shared" si="6"/>
        <v>198.86612576537621</v>
      </c>
      <c r="V43" s="153">
        <f t="shared" si="6"/>
        <v>106.83679138394986</v>
      </c>
      <c r="W43" s="153">
        <f t="shared" si="6"/>
        <v>43.860885133382041</v>
      </c>
      <c r="X43" s="153">
        <f t="shared" si="6"/>
        <v>13.995399414640119</v>
      </c>
      <c r="Y43" s="153">
        <f t="shared" si="6"/>
        <v>3.5042516390219047</v>
      </c>
      <c r="Z43" s="153">
        <f t="shared" si="6"/>
        <v>0.69257803098554671</v>
      </c>
      <c r="AA43" s="154">
        <f t="shared" si="6"/>
        <v>0.10846446556189715</v>
      </c>
      <c r="AD43" s="163">
        <v>1000</v>
      </c>
      <c r="AE43" s="157">
        <v>2170</v>
      </c>
      <c r="AF43" s="152">
        <f>IF(G$33&gt;=$F43,$AD43-SUM($G43:G43),0)</f>
        <v>0</v>
      </c>
      <c r="AG43" s="153">
        <f>IF(H$33&gt;=$F43,$AD43-SUM($G43:H43),0)</f>
        <v>0</v>
      </c>
      <c r="AH43" s="153">
        <f>IF(I$33&gt;=$F43,$AD43-SUM($G43:I43),0)</f>
        <v>0</v>
      </c>
      <c r="AI43" s="153">
        <f>IF(J$33&gt;=$F43,$AD43-SUM($G43:J43),0)</f>
        <v>0</v>
      </c>
      <c r="AJ43" s="153">
        <f>IF(K$33&gt;=$F43,$AD43-SUM($G43:K43),0)</f>
        <v>0</v>
      </c>
      <c r="AK43" s="153">
        <f>IF(L$33&gt;=$F43,$AD43-SUM($G43:L43),0)</f>
        <v>0</v>
      </c>
      <c r="AL43" s="153">
        <f>IF(M$33&gt;=$F43,$AD43-SUM($G43:M43),0)</f>
        <v>0</v>
      </c>
      <c r="AM43" s="153">
        <f>IF(N$33&gt;=$F43,$AD43-SUM($G43:N43),0)</f>
        <v>0</v>
      </c>
      <c r="AN43" s="153">
        <f>IF(O$33&gt;=$F43,$AD43-SUM($G43:O43),0)</f>
        <v>0</v>
      </c>
      <c r="AO43" s="153">
        <f>IF(P$33&gt;=$F43,$AD43-SUM($G43:P43),0)</f>
        <v>1000</v>
      </c>
      <c r="AP43" s="153">
        <f>IF(Q$33&gt;=$F43,$AD43-SUM($G43:Q43),0)</f>
        <v>1000</v>
      </c>
      <c r="AQ43" s="153">
        <f>IF(R$33&gt;=$F43,$AD43-SUM($G43:R43),0)</f>
        <v>894.83931681436979</v>
      </c>
      <c r="AR43" s="153">
        <f>IF(S$33&gt;=$F43,$AD43-SUM($G43:S43),0)</f>
        <v>641.18038842995452</v>
      </c>
      <c r="AS43" s="153">
        <f>IF(T$33&gt;=$F43,$AD43-SUM($G43:T43),0)</f>
        <v>367.87944117144229</v>
      </c>
      <c r="AT43" s="153">
        <f>IF(U$33&gt;=$F43,$AD43-SUM($G43:U43),0)</f>
        <v>169.01331540606611</v>
      </c>
      <c r="AU43" s="153">
        <f>IF(V$33&gt;=$F43,$AD43-SUM($G43:V43),0)</f>
        <v>62.176524022116268</v>
      </c>
      <c r="AV43" s="153">
        <f>IF(W$33&gt;=$F43,$AD43-SUM($G43:W43),0)</f>
        <v>18.31563888873427</v>
      </c>
      <c r="AW43" s="153">
        <f>IF(X$33&gt;=$F43,$AD43-SUM($G43:X43),0)</f>
        <v>4.3202394740941372</v>
      </c>
      <c r="AX43" s="153">
        <f>IF(Y$33&gt;=$F43,$AD43-SUM($G43:Y43),0)</f>
        <v>0.81598783507217831</v>
      </c>
      <c r="AY43" s="153">
        <f>IF(Z$33&gt;=$F43,$AD43-SUM($G43:Z43),0)</f>
        <v>0.12340980408657742</v>
      </c>
      <c r="AZ43" s="154">
        <f>IF(AA$33&gt;=$F43,$AD43-SUM($G43:AA43),0)</f>
        <v>1.4945338524626095E-2</v>
      </c>
    </row>
    <row r="44" spans="5:52" x14ac:dyDescent="0.3">
      <c r="E44" s="179">
        <v>1100</v>
      </c>
      <c r="F44" s="157">
        <v>2180</v>
      </c>
      <c r="G44" s="152">
        <f t="shared" si="3"/>
        <v>0</v>
      </c>
      <c r="H44" s="153">
        <f t="shared" si="5"/>
        <v>0</v>
      </c>
      <c r="I44" s="153">
        <f t="shared" si="5"/>
        <v>0</v>
      </c>
      <c r="J44" s="153">
        <f t="shared" si="5"/>
        <v>0</v>
      </c>
      <c r="K44" s="153">
        <f t="shared" si="5"/>
        <v>0</v>
      </c>
      <c r="L44" s="153">
        <f t="shared" si="5"/>
        <v>0</v>
      </c>
      <c r="M44" s="153">
        <f t="shared" si="5"/>
        <v>0</v>
      </c>
      <c r="N44" s="153">
        <f t="shared" si="5"/>
        <v>0</v>
      </c>
      <c r="O44" s="153">
        <f t="shared" si="5"/>
        <v>0</v>
      </c>
      <c r="P44" s="153">
        <f t="shared" si="5"/>
        <v>0</v>
      </c>
      <c r="Q44" s="153">
        <f t="shared" si="5"/>
        <v>0</v>
      </c>
      <c r="R44" s="153">
        <f t="shared" si="6"/>
        <v>0</v>
      </c>
      <c r="S44" s="153">
        <f t="shared" si="6"/>
        <v>115.67675150419322</v>
      </c>
      <c r="T44" s="153">
        <f t="shared" si="6"/>
        <v>279.02482122285676</v>
      </c>
      <c r="U44" s="153">
        <f t="shared" si="6"/>
        <v>300.63104198436343</v>
      </c>
      <c r="V44" s="153">
        <f t="shared" si="6"/>
        <v>218.75273834191384</v>
      </c>
      <c r="W44" s="153">
        <f t="shared" si="6"/>
        <v>117.52047052234485</v>
      </c>
      <c r="X44" s="153">
        <f t="shared" si="6"/>
        <v>48.246973646720249</v>
      </c>
      <c r="Y44" s="153">
        <f t="shared" si="6"/>
        <v>15.394939356104132</v>
      </c>
      <c r="Z44" s="153">
        <f t="shared" si="6"/>
        <v>3.8546768029240952</v>
      </c>
      <c r="AA44" s="154">
        <f t="shared" si="6"/>
        <v>0.76183583408410138</v>
      </c>
      <c r="AD44" s="163">
        <v>1100</v>
      </c>
      <c r="AE44" s="157">
        <v>2180</v>
      </c>
      <c r="AF44" s="152">
        <f>IF(G$33&gt;=$F44,$AD44-SUM($G44:G44),0)</f>
        <v>0</v>
      </c>
      <c r="AG44" s="153">
        <f>IF(H$33&gt;=$F44,$AD44-SUM($G44:H44),0)</f>
        <v>0</v>
      </c>
      <c r="AH44" s="153">
        <f>IF(I$33&gt;=$F44,$AD44-SUM($G44:I44),0)</f>
        <v>0</v>
      </c>
      <c r="AI44" s="153">
        <f>IF(J$33&gt;=$F44,$AD44-SUM($G44:J44),0)</f>
        <v>0</v>
      </c>
      <c r="AJ44" s="153">
        <f>IF(K$33&gt;=$F44,$AD44-SUM($G44:K44),0)</f>
        <v>0</v>
      </c>
      <c r="AK44" s="153">
        <f>IF(L$33&gt;=$F44,$AD44-SUM($G44:L44),0)</f>
        <v>0</v>
      </c>
      <c r="AL44" s="153">
        <f>IF(M$33&gt;=$F44,$AD44-SUM($G44:M44),0)</f>
        <v>0</v>
      </c>
      <c r="AM44" s="153">
        <f>IF(N$33&gt;=$F44,$AD44-SUM($G44:N44),0)</f>
        <v>0</v>
      </c>
      <c r="AN44" s="153">
        <f>IF(O$33&gt;=$F44,$AD44-SUM($G44:O44),0)</f>
        <v>0</v>
      </c>
      <c r="AO44" s="153">
        <f>IF(P$33&gt;=$F44,$AD44-SUM($G44:P44),0)</f>
        <v>0</v>
      </c>
      <c r="AP44" s="153">
        <f>IF(Q$33&gt;=$F44,$AD44-SUM($G44:Q44),0)</f>
        <v>1100</v>
      </c>
      <c r="AQ44" s="153">
        <f>IF(R$33&gt;=$F44,$AD44-SUM($G44:R44),0)</f>
        <v>1100</v>
      </c>
      <c r="AR44" s="153">
        <f>IF(S$33&gt;=$F44,$AD44-SUM($G44:S44),0)</f>
        <v>984.32324849580675</v>
      </c>
      <c r="AS44" s="153">
        <f>IF(T$33&gt;=$F44,$AD44-SUM($G44:T44),0)</f>
        <v>705.29842727294999</v>
      </c>
      <c r="AT44" s="153">
        <f>IF(U$33&gt;=$F44,$AD44-SUM($G44:U44),0)</f>
        <v>404.6673852885865</v>
      </c>
      <c r="AU44" s="153">
        <f>IF(V$33&gt;=$F44,$AD44-SUM($G44:V44),0)</f>
        <v>185.91464694667263</v>
      </c>
      <c r="AV44" s="153">
        <f>IF(W$33&gt;=$F44,$AD44-SUM($G44:W44),0)</f>
        <v>68.394176424327725</v>
      </c>
      <c r="AW44" s="153">
        <f>IF(X$33&gt;=$F44,$AD44-SUM($G44:X44),0)</f>
        <v>20.14720277760739</v>
      </c>
      <c r="AX44" s="153">
        <f>IF(Y$33&gt;=$F44,$AD44-SUM($G44:Y44),0)</f>
        <v>4.7522634215033577</v>
      </c>
      <c r="AY44" s="153">
        <f>IF(Z$33&gt;=$F44,$AD44-SUM($G44:Z44),0)</f>
        <v>0.89758661857922561</v>
      </c>
      <c r="AZ44" s="154">
        <f>IF(AA$33&gt;=$F44,$AD44-SUM($G44:AA44),0)</f>
        <v>0.13575078449503053</v>
      </c>
    </row>
    <row r="45" spans="5:52" x14ac:dyDescent="0.3">
      <c r="E45" s="179">
        <v>1200</v>
      </c>
      <c r="F45" s="157">
        <v>2190</v>
      </c>
      <c r="G45" s="152">
        <f t="shared" si="3"/>
        <v>0</v>
      </c>
      <c r="H45" s="153">
        <f t="shared" ref="H45:Q54" si="7">IF(H$60&gt;=$F45,$E45*INDEX($F$8:$Z$8,MATCH(H$60-$F45,$F$6:$Z$6,0)),0)</f>
        <v>0</v>
      </c>
      <c r="I45" s="153">
        <f t="shared" si="7"/>
        <v>0</v>
      </c>
      <c r="J45" s="153">
        <f t="shared" si="7"/>
        <v>0</v>
      </c>
      <c r="K45" s="153">
        <f t="shared" si="7"/>
        <v>0</v>
      </c>
      <c r="L45" s="153">
        <f t="shared" si="7"/>
        <v>0</v>
      </c>
      <c r="M45" s="153">
        <f t="shared" si="7"/>
        <v>0</v>
      </c>
      <c r="N45" s="153">
        <f t="shared" si="7"/>
        <v>0</v>
      </c>
      <c r="O45" s="153">
        <f t="shared" si="7"/>
        <v>0</v>
      </c>
      <c r="P45" s="153">
        <f t="shared" si="7"/>
        <v>0</v>
      </c>
      <c r="Q45" s="153">
        <f t="shared" si="7"/>
        <v>0</v>
      </c>
      <c r="R45" s="153">
        <f t="shared" ref="R45:AA54" si="8">IF(R$60&gt;=$F45,$E45*INDEX($F$8:$Z$8,MATCH(R$60-$F45,$F$6:$Z$6,0)),0)</f>
        <v>0</v>
      </c>
      <c r="S45" s="153">
        <f t="shared" si="8"/>
        <v>0</v>
      </c>
      <c r="T45" s="153">
        <f t="shared" si="8"/>
        <v>126.19281982275623</v>
      </c>
      <c r="U45" s="153">
        <f t="shared" si="8"/>
        <v>304.3907140612983</v>
      </c>
      <c r="V45" s="153">
        <f t="shared" si="8"/>
        <v>327.96113671021465</v>
      </c>
      <c r="W45" s="153">
        <f t="shared" si="8"/>
        <v>238.63935091845144</v>
      </c>
      <c r="X45" s="153">
        <f t="shared" si="8"/>
        <v>128.20414966073983</v>
      </c>
      <c r="Y45" s="153">
        <f t="shared" si="8"/>
        <v>52.633062160058451</v>
      </c>
      <c r="Z45" s="153">
        <f t="shared" si="8"/>
        <v>16.794479297568145</v>
      </c>
      <c r="AA45" s="154">
        <f t="shared" si="8"/>
        <v>4.2051019668262857</v>
      </c>
      <c r="AD45" s="163">
        <v>1200</v>
      </c>
      <c r="AE45" s="157">
        <v>2190</v>
      </c>
      <c r="AF45" s="152">
        <f>IF(G$33&gt;=$F45,$AD45-SUM($G45:G45),0)</f>
        <v>0</v>
      </c>
      <c r="AG45" s="153">
        <f>IF(H$33&gt;=$F45,$AD45-SUM($G45:H45),0)</f>
        <v>0</v>
      </c>
      <c r="AH45" s="153">
        <f>IF(I$33&gt;=$F45,$AD45-SUM($G45:I45),0)</f>
        <v>0</v>
      </c>
      <c r="AI45" s="153">
        <f>IF(J$33&gt;=$F45,$AD45-SUM($G45:J45),0)</f>
        <v>0</v>
      </c>
      <c r="AJ45" s="153">
        <f>IF(K$33&gt;=$F45,$AD45-SUM($G45:K45),0)</f>
        <v>0</v>
      </c>
      <c r="AK45" s="153">
        <f>IF(L$33&gt;=$F45,$AD45-SUM($G45:L45),0)</f>
        <v>0</v>
      </c>
      <c r="AL45" s="153">
        <f>IF(M$33&gt;=$F45,$AD45-SUM($G45:M45),0)</f>
        <v>0</v>
      </c>
      <c r="AM45" s="153">
        <f>IF(N$33&gt;=$F45,$AD45-SUM($G45:N45),0)</f>
        <v>0</v>
      </c>
      <c r="AN45" s="153">
        <f>IF(O$33&gt;=$F45,$AD45-SUM($G45:O45),0)</f>
        <v>0</v>
      </c>
      <c r="AO45" s="153">
        <f>IF(P$33&gt;=$F45,$AD45-SUM($G45:P45),0)</f>
        <v>0</v>
      </c>
      <c r="AP45" s="153">
        <f>IF(Q$33&gt;=$F45,$AD45-SUM($G45:Q45),0)</f>
        <v>0</v>
      </c>
      <c r="AQ45" s="153">
        <f>IF(R$33&gt;=$F45,$AD45-SUM($G45:R45),0)</f>
        <v>1200</v>
      </c>
      <c r="AR45" s="153">
        <f>IF(S$33&gt;=$F45,$AD45-SUM($G45:S45),0)</f>
        <v>1200</v>
      </c>
      <c r="AS45" s="153">
        <f>IF(T$33&gt;=$F45,$AD45-SUM($G45:T45),0)</f>
        <v>1073.8071801772437</v>
      </c>
      <c r="AT45" s="153">
        <f>IF(U$33&gt;=$F45,$AD45-SUM($G45:U45),0)</f>
        <v>769.41646611594547</v>
      </c>
      <c r="AU45" s="153">
        <f>IF(V$33&gt;=$F45,$AD45-SUM($G45:V45),0)</f>
        <v>441.45532940573082</v>
      </c>
      <c r="AV45" s="153">
        <f>IF(W$33&gt;=$F45,$AD45-SUM($G45:W45),0)</f>
        <v>202.81597848727938</v>
      </c>
      <c r="AW45" s="153">
        <f>IF(X$33&gt;=$F45,$AD45-SUM($G45:X45),0)</f>
        <v>74.611828826539522</v>
      </c>
      <c r="AX45" s="153">
        <f>IF(Y$33&gt;=$F45,$AD45-SUM($G45:Y45),0)</f>
        <v>21.978766666481079</v>
      </c>
      <c r="AY45" s="153">
        <f>IF(Z$33&gt;=$F45,$AD45-SUM($G45:Z45),0)</f>
        <v>5.1842873689129192</v>
      </c>
      <c r="AZ45" s="154">
        <f>IF(AA$33&gt;=$F45,$AD45-SUM($G45:AA45),0)</f>
        <v>0.97918540208661398</v>
      </c>
    </row>
    <row r="46" spans="5:52" x14ac:dyDescent="0.3">
      <c r="E46" s="179">
        <v>1300</v>
      </c>
      <c r="F46" s="157">
        <v>2200</v>
      </c>
      <c r="G46" s="152">
        <f t="shared" si="3"/>
        <v>0</v>
      </c>
      <c r="H46" s="153">
        <f t="shared" si="7"/>
        <v>0</v>
      </c>
      <c r="I46" s="153">
        <f t="shared" si="7"/>
        <v>0</v>
      </c>
      <c r="J46" s="153">
        <f t="shared" si="7"/>
        <v>0</v>
      </c>
      <c r="K46" s="153">
        <f t="shared" si="7"/>
        <v>0</v>
      </c>
      <c r="L46" s="153">
        <f t="shared" si="7"/>
        <v>0</v>
      </c>
      <c r="M46" s="153">
        <f t="shared" si="7"/>
        <v>0</v>
      </c>
      <c r="N46" s="153">
        <f t="shared" si="7"/>
        <v>0</v>
      </c>
      <c r="O46" s="153">
        <f t="shared" si="7"/>
        <v>0</v>
      </c>
      <c r="P46" s="153">
        <f t="shared" si="7"/>
        <v>0</v>
      </c>
      <c r="Q46" s="153">
        <f t="shared" si="7"/>
        <v>0</v>
      </c>
      <c r="R46" s="153">
        <f t="shared" si="8"/>
        <v>0</v>
      </c>
      <c r="S46" s="153">
        <f t="shared" si="8"/>
        <v>0</v>
      </c>
      <c r="T46" s="153">
        <f t="shared" si="8"/>
        <v>0</v>
      </c>
      <c r="U46" s="153">
        <f t="shared" si="8"/>
        <v>136.70888814131925</v>
      </c>
      <c r="V46" s="153">
        <f t="shared" si="8"/>
        <v>329.75660689973978</v>
      </c>
      <c r="W46" s="153">
        <f t="shared" si="8"/>
        <v>355.29123143606591</v>
      </c>
      <c r="X46" s="153">
        <f t="shared" si="8"/>
        <v>258.52596349498907</v>
      </c>
      <c r="Y46" s="153">
        <f t="shared" si="8"/>
        <v>138.88782879913481</v>
      </c>
      <c r="Z46" s="153">
        <f t="shared" si="8"/>
        <v>57.019150673396659</v>
      </c>
      <c r="AA46" s="154">
        <f t="shared" si="8"/>
        <v>18.194019239032155</v>
      </c>
      <c r="AD46" s="163">
        <v>1300</v>
      </c>
      <c r="AE46" s="157">
        <v>2200</v>
      </c>
      <c r="AF46" s="152">
        <f>IF(G$33&gt;=$F46,$AD46-SUM($G46:G46),0)</f>
        <v>0</v>
      </c>
      <c r="AG46" s="153">
        <f>IF(H$33&gt;=$F46,$AD46-SUM($G46:H46),0)</f>
        <v>0</v>
      </c>
      <c r="AH46" s="153">
        <f>IF(I$33&gt;=$F46,$AD46-SUM($G46:I46),0)</f>
        <v>0</v>
      </c>
      <c r="AI46" s="153">
        <f>IF(J$33&gt;=$F46,$AD46-SUM($G46:J46),0)</f>
        <v>0</v>
      </c>
      <c r="AJ46" s="153">
        <f>IF(K$33&gt;=$F46,$AD46-SUM($G46:K46),0)</f>
        <v>0</v>
      </c>
      <c r="AK46" s="153">
        <f>IF(L$33&gt;=$F46,$AD46-SUM($G46:L46),0)</f>
        <v>0</v>
      </c>
      <c r="AL46" s="153">
        <f>IF(M$33&gt;=$F46,$AD46-SUM($G46:M46),0)</f>
        <v>0</v>
      </c>
      <c r="AM46" s="153">
        <f>IF(N$33&gt;=$F46,$AD46-SUM($G46:N46),0)</f>
        <v>0</v>
      </c>
      <c r="AN46" s="153">
        <f>IF(O$33&gt;=$F46,$AD46-SUM($G46:O46),0)</f>
        <v>0</v>
      </c>
      <c r="AO46" s="153">
        <f>IF(P$33&gt;=$F46,$AD46-SUM($G46:P46),0)</f>
        <v>0</v>
      </c>
      <c r="AP46" s="153">
        <f>IF(Q$33&gt;=$F46,$AD46-SUM($G46:Q46),0)</f>
        <v>0</v>
      </c>
      <c r="AQ46" s="153">
        <f>IF(R$33&gt;=$F46,$AD46-SUM($G46:R46),0)</f>
        <v>0</v>
      </c>
      <c r="AR46" s="153">
        <f>IF(S$33&gt;=$F46,$AD46-SUM($G46:S46),0)</f>
        <v>1300</v>
      </c>
      <c r="AS46" s="153">
        <f>IF(T$33&gt;=$F46,$AD46-SUM($G46:T46),0)</f>
        <v>1300</v>
      </c>
      <c r="AT46" s="153">
        <f>IF(U$33&gt;=$F46,$AD46-SUM($G46:U46),0)</f>
        <v>1163.2911118586808</v>
      </c>
      <c r="AU46" s="153">
        <f>IF(V$33&gt;=$F46,$AD46-SUM($G46:V46),0)</f>
        <v>833.53450495894094</v>
      </c>
      <c r="AV46" s="153">
        <f>IF(W$33&gt;=$F46,$AD46-SUM($G46:W46),0)</f>
        <v>478.24327352287503</v>
      </c>
      <c r="AW46" s="153">
        <f>IF(X$33&gt;=$F46,$AD46-SUM($G46:X46),0)</f>
        <v>219.71731002788601</v>
      </c>
      <c r="AX46" s="153">
        <f>IF(Y$33&gt;=$F46,$AD46-SUM($G46:Y46),0)</f>
        <v>80.82948122875132</v>
      </c>
      <c r="AY46" s="153">
        <f>IF(Z$33&gt;=$F46,$AD46-SUM($G46:Z46),0)</f>
        <v>23.810330555354767</v>
      </c>
      <c r="AZ46" s="154">
        <f>IF(AA$33&gt;=$F46,$AD46-SUM($G46:AA46),0)</f>
        <v>5.6163113163227081</v>
      </c>
    </row>
    <row r="47" spans="5:52" x14ac:dyDescent="0.3">
      <c r="E47" s="179">
        <v>1400</v>
      </c>
      <c r="F47" s="157">
        <v>2210</v>
      </c>
      <c r="G47" s="152">
        <f t="shared" si="3"/>
        <v>0</v>
      </c>
      <c r="H47" s="153">
        <f t="shared" si="7"/>
        <v>0</v>
      </c>
      <c r="I47" s="153">
        <f t="shared" si="7"/>
        <v>0</v>
      </c>
      <c r="J47" s="153">
        <f t="shared" si="7"/>
        <v>0</v>
      </c>
      <c r="K47" s="153">
        <f t="shared" si="7"/>
        <v>0</v>
      </c>
      <c r="L47" s="153">
        <f t="shared" si="7"/>
        <v>0</v>
      </c>
      <c r="M47" s="153">
        <f t="shared" si="7"/>
        <v>0</v>
      </c>
      <c r="N47" s="153">
        <f t="shared" si="7"/>
        <v>0</v>
      </c>
      <c r="O47" s="153">
        <f t="shared" si="7"/>
        <v>0</v>
      </c>
      <c r="P47" s="153">
        <f t="shared" si="7"/>
        <v>0</v>
      </c>
      <c r="Q47" s="153">
        <f t="shared" si="7"/>
        <v>0</v>
      </c>
      <c r="R47" s="153">
        <f t="shared" si="8"/>
        <v>0</v>
      </c>
      <c r="S47" s="153">
        <f t="shared" si="8"/>
        <v>0</v>
      </c>
      <c r="T47" s="153">
        <f t="shared" si="8"/>
        <v>0</v>
      </c>
      <c r="U47" s="153">
        <f t="shared" si="8"/>
        <v>0</v>
      </c>
      <c r="V47" s="153">
        <f t="shared" si="8"/>
        <v>147.22495645988226</v>
      </c>
      <c r="W47" s="153">
        <f t="shared" si="8"/>
        <v>355.12249973818132</v>
      </c>
      <c r="X47" s="153">
        <f t="shared" si="8"/>
        <v>382.62132616191712</v>
      </c>
      <c r="Y47" s="153">
        <f t="shared" si="8"/>
        <v>278.4125760715267</v>
      </c>
      <c r="Z47" s="153">
        <f t="shared" si="8"/>
        <v>149.57150793752982</v>
      </c>
      <c r="AA47" s="154">
        <f t="shared" si="8"/>
        <v>61.40523918673486</v>
      </c>
      <c r="AD47" s="163">
        <v>1400</v>
      </c>
      <c r="AE47" s="157">
        <v>2210</v>
      </c>
      <c r="AF47" s="152">
        <f>IF(G$33&gt;=$F47,$AD47-SUM($G47:G47),0)</f>
        <v>0</v>
      </c>
      <c r="AG47" s="153">
        <f>IF(H$33&gt;=$F47,$AD47-SUM($G47:H47),0)</f>
        <v>0</v>
      </c>
      <c r="AH47" s="153">
        <f>IF(I$33&gt;=$F47,$AD47-SUM($G47:I47),0)</f>
        <v>0</v>
      </c>
      <c r="AI47" s="153">
        <f>IF(J$33&gt;=$F47,$AD47-SUM($G47:J47),0)</f>
        <v>0</v>
      </c>
      <c r="AJ47" s="153">
        <f>IF(K$33&gt;=$F47,$AD47-SUM($G47:K47),0)</f>
        <v>0</v>
      </c>
      <c r="AK47" s="153">
        <f>IF(L$33&gt;=$F47,$AD47-SUM($G47:L47),0)</f>
        <v>0</v>
      </c>
      <c r="AL47" s="153">
        <f>IF(M$33&gt;=$F47,$AD47-SUM($G47:M47),0)</f>
        <v>0</v>
      </c>
      <c r="AM47" s="153">
        <f>IF(N$33&gt;=$F47,$AD47-SUM($G47:N47),0)</f>
        <v>0</v>
      </c>
      <c r="AN47" s="153">
        <f>IF(O$33&gt;=$F47,$AD47-SUM($G47:O47),0)</f>
        <v>0</v>
      </c>
      <c r="AO47" s="153">
        <f>IF(P$33&gt;=$F47,$AD47-SUM($G47:P47),0)</f>
        <v>0</v>
      </c>
      <c r="AP47" s="153">
        <f>IF(Q$33&gt;=$F47,$AD47-SUM($G47:Q47),0)</f>
        <v>0</v>
      </c>
      <c r="AQ47" s="153">
        <f>IF(R$33&gt;=$F47,$AD47-SUM($G47:R47),0)</f>
        <v>0</v>
      </c>
      <c r="AR47" s="153">
        <f>IF(S$33&gt;=$F47,$AD47-SUM($G47:S47),0)</f>
        <v>0</v>
      </c>
      <c r="AS47" s="153">
        <f>IF(T$33&gt;=$F47,$AD47-SUM($G47:T47),0)</f>
        <v>1400</v>
      </c>
      <c r="AT47" s="153">
        <f>IF(U$33&gt;=$F47,$AD47-SUM($G47:U47),0)</f>
        <v>1400</v>
      </c>
      <c r="AU47" s="153">
        <f>IF(V$33&gt;=$F47,$AD47-SUM($G47:V47),0)</f>
        <v>1252.7750435401176</v>
      </c>
      <c r="AV47" s="153">
        <f>IF(W$33&gt;=$F47,$AD47-SUM($G47:W47),0)</f>
        <v>897.65254380193642</v>
      </c>
      <c r="AW47" s="153">
        <f>IF(X$33&gt;=$F47,$AD47-SUM($G47:X47),0)</f>
        <v>515.03121764001935</v>
      </c>
      <c r="AX47" s="153">
        <f>IF(Y$33&gt;=$F47,$AD47-SUM($G47:Y47),0)</f>
        <v>236.61864156849265</v>
      </c>
      <c r="AY47" s="153">
        <f>IF(Z$33&gt;=$F47,$AD47-SUM($G47:Z47),0)</f>
        <v>87.04713363096289</v>
      </c>
      <c r="AZ47" s="154">
        <f>IF(AA$33&gt;=$F47,$AD47-SUM($G47:AA47),0)</f>
        <v>25.641894444228001</v>
      </c>
    </row>
    <row r="48" spans="5:52" x14ac:dyDescent="0.3">
      <c r="E48" s="179">
        <v>1500</v>
      </c>
      <c r="F48" s="157">
        <v>2220</v>
      </c>
      <c r="G48" s="152">
        <f t="shared" si="3"/>
        <v>0</v>
      </c>
      <c r="H48" s="153">
        <f t="shared" si="7"/>
        <v>0</v>
      </c>
      <c r="I48" s="153">
        <f t="shared" si="7"/>
        <v>0</v>
      </c>
      <c r="J48" s="153">
        <f t="shared" si="7"/>
        <v>0</v>
      </c>
      <c r="K48" s="153">
        <f t="shared" si="7"/>
        <v>0</v>
      </c>
      <c r="L48" s="153">
        <f t="shared" si="7"/>
        <v>0</v>
      </c>
      <c r="M48" s="153">
        <f t="shared" si="7"/>
        <v>0</v>
      </c>
      <c r="N48" s="153">
        <f t="shared" si="7"/>
        <v>0</v>
      </c>
      <c r="O48" s="153">
        <f t="shared" si="7"/>
        <v>0</v>
      </c>
      <c r="P48" s="153">
        <f t="shared" si="7"/>
        <v>0</v>
      </c>
      <c r="Q48" s="153">
        <f t="shared" si="7"/>
        <v>0</v>
      </c>
      <c r="R48" s="153">
        <f t="shared" si="8"/>
        <v>0</v>
      </c>
      <c r="S48" s="153">
        <f t="shared" si="8"/>
        <v>0</v>
      </c>
      <c r="T48" s="153">
        <f t="shared" si="8"/>
        <v>0</v>
      </c>
      <c r="U48" s="153">
        <f t="shared" si="8"/>
        <v>0</v>
      </c>
      <c r="V48" s="153">
        <f t="shared" si="8"/>
        <v>0</v>
      </c>
      <c r="W48" s="153">
        <f t="shared" si="8"/>
        <v>157.74102477844531</v>
      </c>
      <c r="X48" s="153">
        <f t="shared" si="8"/>
        <v>380.48839257662286</v>
      </c>
      <c r="Y48" s="153">
        <f t="shared" si="8"/>
        <v>409.95142088776834</v>
      </c>
      <c r="Z48" s="153">
        <f t="shared" si="8"/>
        <v>298.29918864806433</v>
      </c>
      <c r="AA48" s="154">
        <f t="shared" si="8"/>
        <v>160.25518707592479</v>
      </c>
      <c r="AD48" s="163">
        <v>1500</v>
      </c>
      <c r="AE48" s="157">
        <v>2220</v>
      </c>
      <c r="AF48" s="152">
        <f>IF(G$33&gt;=$F48,$AD48-SUM($G48:G48),0)</f>
        <v>0</v>
      </c>
      <c r="AG48" s="153">
        <f>IF(H$33&gt;=$F48,$AD48-SUM($G48:H48),0)</f>
        <v>0</v>
      </c>
      <c r="AH48" s="153">
        <f>IF(I$33&gt;=$F48,$AD48-SUM($G48:I48),0)</f>
        <v>0</v>
      </c>
      <c r="AI48" s="153">
        <f>IF(J$33&gt;=$F48,$AD48-SUM($G48:J48),0)</f>
        <v>0</v>
      </c>
      <c r="AJ48" s="153">
        <f>IF(K$33&gt;=$F48,$AD48-SUM($G48:K48),0)</f>
        <v>0</v>
      </c>
      <c r="AK48" s="153">
        <f>IF(L$33&gt;=$F48,$AD48-SUM($G48:L48),0)</f>
        <v>0</v>
      </c>
      <c r="AL48" s="153">
        <f>IF(M$33&gt;=$F48,$AD48-SUM($G48:M48),0)</f>
        <v>0</v>
      </c>
      <c r="AM48" s="153">
        <f>IF(N$33&gt;=$F48,$AD48-SUM($G48:N48),0)</f>
        <v>0</v>
      </c>
      <c r="AN48" s="153">
        <f>IF(O$33&gt;=$F48,$AD48-SUM($G48:O48),0)</f>
        <v>0</v>
      </c>
      <c r="AO48" s="153">
        <f>IF(P$33&gt;=$F48,$AD48-SUM($G48:P48),0)</f>
        <v>0</v>
      </c>
      <c r="AP48" s="153">
        <f>IF(Q$33&gt;=$F48,$AD48-SUM($G48:Q48),0)</f>
        <v>0</v>
      </c>
      <c r="AQ48" s="153">
        <f>IF(R$33&gt;=$F48,$AD48-SUM($G48:R48),0)</f>
        <v>0</v>
      </c>
      <c r="AR48" s="153">
        <f>IF(S$33&gt;=$F48,$AD48-SUM($G48:S48),0)</f>
        <v>0</v>
      </c>
      <c r="AS48" s="153">
        <f>IF(T$33&gt;=$F48,$AD48-SUM($G48:T48),0)</f>
        <v>0</v>
      </c>
      <c r="AT48" s="153">
        <f>IF(U$33&gt;=$F48,$AD48-SUM($G48:U48),0)</f>
        <v>1500</v>
      </c>
      <c r="AU48" s="153">
        <f>IF(V$33&gt;=$F48,$AD48-SUM($G48:V48),0)</f>
        <v>1500</v>
      </c>
      <c r="AV48" s="153">
        <f>IF(W$33&gt;=$F48,$AD48-SUM($G48:W48),0)</f>
        <v>1342.2589752215547</v>
      </c>
      <c r="AW48" s="153">
        <f>IF(X$33&gt;=$F48,$AD48-SUM($G48:X48),0)</f>
        <v>961.77058264493189</v>
      </c>
      <c r="AX48" s="153">
        <f>IF(Y$33&gt;=$F48,$AD48-SUM($G48:Y48),0)</f>
        <v>551.81916175716356</v>
      </c>
      <c r="AY48" s="153">
        <f>IF(Z$33&gt;=$F48,$AD48-SUM($G48:Z48),0)</f>
        <v>253.51997310909928</v>
      </c>
      <c r="AZ48" s="154">
        <f>IF(AA$33&gt;=$F48,$AD48-SUM($G48:AA48),0)</f>
        <v>93.26478603317446</v>
      </c>
    </row>
    <row r="49" spans="5:52" x14ac:dyDescent="0.3">
      <c r="E49" s="179">
        <v>1600</v>
      </c>
      <c r="F49" s="157">
        <v>2230</v>
      </c>
      <c r="G49" s="152">
        <f t="shared" si="3"/>
        <v>0</v>
      </c>
      <c r="H49" s="153">
        <f t="shared" si="7"/>
        <v>0</v>
      </c>
      <c r="I49" s="153">
        <f t="shared" si="7"/>
        <v>0</v>
      </c>
      <c r="J49" s="153">
        <f t="shared" si="7"/>
        <v>0</v>
      </c>
      <c r="K49" s="153">
        <f t="shared" si="7"/>
        <v>0</v>
      </c>
      <c r="L49" s="153">
        <f t="shared" si="7"/>
        <v>0</v>
      </c>
      <c r="M49" s="153">
        <f t="shared" si="7"/>
        <v>0</v>
      </c>
      <c r="N49" s="153">
        <f t="shared" si="7"/>
        <v>0</v>
      </c>
      <c r="O49" s="153">
        <f t="shared" si="7"/>
        <v>0</v>
      </c>
      <c r="P49" s="153">
        <f t="shared" si="7"/>
        <v>0</v>
      </c>
      <c r="Q49" s="153">
        <f t="shared" si="7"/>
        <v>0</v>
      </c>
      <c r="R49" s="153">
        <f t="shared" si="8"/>
        <v>0</v>
      </c>
      <c r="S49" s="153">
        <f t="shared" si="8"/>
        <v>0</v>
      </c>
      <c r="T49" s="153">
        <f t="shared" si="8"/>
        <v>0</v>
      </c>
      <c r="U49" s="153">
        <f t="shared" si="8"/>
        <v>0</v>
      </c>
      <c r="V49" s="153">
        <f t="shared" si="8"/>
        <v>0</v>
      </c>
      <c r="W49" s="153">
        <f t="shared" si="8"/>
        <v>0</v>
      </c>
      <c r="X49" s="153">
        <f t="shared" si="8"/>
        <v>168.25709309700832</v>
      </c>
      <c r="Y49" s="153">
        <f t="shared" si="8"/>
        <v>405.85428541506434</v>
      </c>
      <c r="Z49" s="153">
        <f t="shared" si="8"/>
        <v>437.28151561361955</v>
      </c>
      <c r="AA49" s="154">
        <f t="shared" si="8"/>
        <v>318.18580122460196</v>
      </c>
      <c r="AD49" s="163">
        <v>1600</v>
      </c>
      <c r="AE49" s="157">
        <v>2230</v>
      </c>
      <c r="AF49" s="152">
        <f>IF(G$33&gt;=$F49,$AD49-SUM($G49:G49),0)</f>
        <v>0</v>
      </c>
      <c r="AG49" s="153">
        <f>IF(H$33&gt;=$F49,$AD49-SUM($G49:H49),0)</f>
        <v>0</v>
      </c>
      <c r="AH49" s="153">
        <f>IF(I$33&gt;=$F49,$AD49-SUM($G49:I49),0)</f>
        <v>0</v>
      </c>
      <c r="AI49" s="153">
        <f>IF(J$33&gt;=$F49,$AD49-SUM($G49:J49),0)</f>
        <v>0</v>
      </c>
      <c r="AJ49" s="153">
        <f>IF(K$33&gt;=$F49,$AD49-SUM($G49:K49),0)</f>
        <v>0</v>
      </c>
      <c r="AK49" s="153">
        <f>IF(L$33&gt;=$F49,$AD49-SUM($G49:L49),0)</f>
        <v>0</v>
      </c>
      <c r="AL49" s="153">
        <f>IF(M$33&gt;=$F49,$AD49-SUM($G49:M49),0)</f>
        <v>0</v>
      </c>
      <c r="AM49" s="153">
        <f>IF(N$33&gt;=$F49,$AD49-SUM($G49:N49),0)</f>
        <v>0</v>
      </c>
      <c r="AN49" s="153">
        <f>IF(O$33&gt;=$F49,$AD49-SUM($G49:O49),0)</f>
        <v>0</v>
      </c>
      <c r="AO49" s="153">
        <f>IF(P$33&gt;=$F49,$AD49-SUM($G49:P49),0)</f>
        <v>0</v>
      </c>
      <c r="AP49" s="153">
        <f>IF(Q$33&gt;=$F49,$AD49-SUM($G49:Q49),0)</f>
        <v>0</v>
      </c>
      <c r="AQ49" s="153">
        <f>IF(R$33&gt;=$F49,$AD49-SUM($G49:R49),0)</f>
        <v>0</v>
      </c>
      <c r="AR49" s="153">
        <f>IF(S$33&gt;=$F49,$AD49-SUM($G49:S49),0)</f>
        <v>0</v>
      </c>
      <c r="AS49" s="153">
        <f>IF(T$33&gt;=$F49,$AD49-SUM($G49:T49),0)</f>
        <v>0</v>
      </c>
      <c r="AT49" s="153">
        <f>IF(U$33&gt;=$F49,$AD49-SUM($G49:U49),0)</f>
        <v>0</v>
      </c>
      <c r="AU49" s="153">
        <f>IF(V$33&gt;=$F49,$AD49-SUM($G49:V49),0)</f>
        <v>1600</v>
      </c>
      <c r="AV49" s="153">
        <f>IF(W$33&gt;=$F49,$AD49-SUM($G49:W49),0)</f>
        <v>1600</v>
      </c>
      <c r="AW49" s="153">
        <f>IF(X$33&gt;=$F49,$AD49-SUM($G49:X49),0)</f>
        <v>1431.7429069029918</v>
      </c>
      <c r="AX49" s="153">
        <f>IF(Y$33&gt;=$F49,$AD49-SUM($G49:Y49),0)</f>
        <v>1025.8886214879274</v>
      </c>
      <c r="AY49" s="153">
        <f>IF(Z$33&gt;=$F49,$AD49-SUM($G49:Z49),0)</f>
        <v>588.60710587430776</v>
      </c>
      <c r="AZ49" s="154">
        <f>IF(AA$33&gt;=$F49,$AD49-SUM($G49:AA49),0)</f>
        <v>270.42130464970569</v>
      </c>
    </row>
    <row r="50" spans="5:52" x14ac:dyDescent="0.3">
      <c r="E50" s="179">
        <v>1700</v>
      </c>
      <c r="F50" s="157">
        <v>2240</v>
      </c>
      <c r="G50" s="152">
        <f t="shared" si="3"/>
        <v>0</v>
      </c>
      <c r="H50" s="153">
        <f t="shared" si="7"/>
        <v>0</v>
      </c>
      <c r="I50" s="153">
        <f t="shared" si="7"/>
        <v>0</v>
      </c>
      <c r="J50" s="153">
        <f t="shared" si="7"/>
        <v>0</v>
      </c>
      <c r="K50" s="153">
        <f t="shared" si="7"/>
        <v>0</v>
      </c>
      <c r="L50" s="153">
        <f t="shared" si="7"/>
        <v>0</v>
      </c>
      <c r="M50" s="153">
        <f t="shared" si="7"/>
        <v>0</v>
      </c>
      <c r="N50" s="153">
        <f t="shared" si="7"/>
        <v>0</v>
      </c>
      <c r="O50" s="153">
        <f t="shared" si="7"/>
        <v>0</v>
      </c>
      <c r="P50" s="153">
        <f t="shared" si="7"/>
        <v>0</v>
      </c>
      <c r="Q50" s="153">
        <f t="shared" si="7"/>
        <v>0</v>
      </c>
      <c r="R50" s="153">
        <f t="shared" si="8"/>
        <v>0</v>
      </c>
      <c r="S50" s="153">
        <f t="shared" si="8"/>
        <v>0</v>
      </c>
      <c r="T50" s="153">
        <f t="shared" si="8"/>
        <v>0</v>
      </c>
      <c r="U50" s="153">
        <f t="shared" si="8"/>
        <v>0</v>
      </c>
      <c r="V50" s="153">
        <f t="shared" si="8"/>
        <v>0</v>
      </c>
      <c r="W50" s="153">
        <f t="shared" si="8"/>
        <v>0</v>
      </c>
      <c r="X50" s="153">
        <f t="shared" si="8"/>
        <v>0</v>
      </c>
      <c r="Y50" s="153">
        <f t="shared" si="8"/>
        <v>178.77316141557134</v>
      </c>
      <c r="Z50" s="153">
        <f t="shared" si="8"/>
        <v>431.22017825350588</v>
      </c>
      <c r="AA50" s="154">
        <f t="shared" si="8"/>
        <v>464.61161033947081</v>
      </c>
      <c r="AD50" s="163">
        <v>1700</v>
      </c>
      <c r="AE50" s="157">
        <v>2240</v>
      </c>
      <c r="AF50" s="152">
        <f>IF(G$33&gt;=$F50,$AD50-SUM($G50:G50),0)</f>
        <v>0</v>
      </c>
      <c r="AG50" s="153">
        <f>IF(H$33&gt;=$F50,$AD50-SUM($G50:H50),0)</f>
        <v>0</v>
      </c>
      <c r="AH50" s="153">
        <f>IF(I$33&gt;=$F50,$AD50-SUM($G50:I50),0)</f>
        <v>0</v>
      </c>
      <c r="AI50" s="153">
        <f>IF(J$33&gt;=$F50,$AD50-SUM($G50:J50),0)</f>
        <v>0</v>
      </c>
      <c r="AJ50" s="153">
        <f>IF(K$33&gt;=$F50,$AD50-SUM($G50:K50),0)</f>
        <v>0</v>
      </c>
      <c r="AK50" s="153">
        <f>IF(L$33&gt;=$F50,$AD50-SUM($G50:L50),0)</f>
        <v>0</v>
      </c>
      <c r="AL50" s="153">
        <f>IF(M$33&gt;=$F50,$AD50-SUM($G50:M50),0)</f>
        <v>0</v>
      </c>
      <c r="AM50" s="153">
        <f>IF(N$33&gt;=$F50,$AD50-SUM($G50:N50),0)</f>
        <v>0</v>
      </c>
      <c r="AN50" s="153">
        <f>IF(O$33&gt;=$F50,$AD50-SUM($G50:O50),0)</f>
        <v>0</v>
      </c>
      <c r="AO50" s="153">
        <f>IF(P$33&gt;=$F50,$AD50-SUM($G50:P50),0)</f>
        <v>0</v>
      </c>
      <c r="AP50" s="153">
        <f>IF(Q$33&gt;=$F50,$AD50-SUM($G50:Q50),0)</f>
        <v>0</v>
      </c>
      <c r="AQ50" s="153">
        <f>IF(R$33&gt;=$F50,$AD50-SUM($G50:R50),0)</f>
        <v>0</v>
      </c>
      <c r="AR50" s="153">
        <f>IF(S$33&gt;=$F50,$AD50-SUM($G50:S50),0)</f>
        <v>0</v>
      </c>
      <c r="AS50" s="153">
        <f>IF(T$33&gt;=$F50,$AD50-SUM($G50:T50),0)</f>
        <v>0</v>
      </c>
      <c r="AT50" s="153">
        <f>IF(U$33&gt;=$F50,$AD50-SUM($G50:U50),0)</f>
        <v>0</v>
      </c>
      <c r="AU50" s="153">
        <f>IF(V$33&gt;=$F50,$AD50-SUM($G50:V50),0)</f>
        <v>0</v>
      </c>
      <c r="AV50" s="153">
        <f>IF(W$33&gt;=$F50,$AD50-SUM($G50:W50),0)</f>
        <v>1700</v>
      </c>
      <c r="AW50" s="153">
        <f>IF(X$33&gt;=$F50,$AD50-SUM($G50:X50),0)</f>
        <v>1700</v>
      </c>
      <c r="AX50" s="153">
        <f>IF(Y$33&gt;=$F50,$AD50-SUM($G50:Y50),0)</f>
        <v>1521.2268385844286</v>
      </c>
      <c r="AY50" s="153">
        <f>IF(Z$33&gt;=$F50,$AD50-SUM($G50:Z50),0)</f>
        <v>1090.0066603309228</v>
      </c>
      <c r="AZ50" s="154">
        <f>IF(AA$33&gt;=$F50,$AD50-SUM($G50:AA50),0)</f>
        <v>625.39504999145197</v>
      </c>
    </row>
    <row r="51" spans="5:52" x14ac:dyDescent="0.3">
      <c r="E51" s="179">
        <v>1800</v>
      </c>
      <c r="F51" s="157">
        <v>2250</v>
      </c>
      <c r="G51" s="152">
        <f t="shared" si="3"/>
        <v>0</v>
      </c>
      <c r="H51" s="153">
        <f t="shared" si="7"/>
        <v>0</v>
      </c>
      <c r="I51" s="153">
        <f t="shared" si="7"/>
        <v>0</v>
      </c>
      <c r="J51" s="153">
        <f t="shared" si="7"/>
        <v>0</v>
      </c>
      <c r="K51" s="153">
        <f t="shared" si="7"/>
        <v>0</v>
      </c>
      <c r="L51" s="153">
        <f t="shared" si="7"/>
        <v>0</v>
      </c>
      <c r="M51" s="153">
        <f t="shared" si="7"/>
        <v>0</v>
      </c>
      <c r="N51" s="153">
        <f t="shared" si="7"/>
        <v>0</v>
      </c>
      <c r="O51" s="153">
        <f t="shared" si="7"/>
        <v>0</v>
      </c>
      <c r="P51" s="153">
        <f t="shared" si="7"/>
        <v>0</v>
      </c>
      <c r="Q51" s="153">
        <f t="shared" si="7"/>
        <v>0</v>
      </c>
      <c r="R51" s="153">
        <f t="shared" si="8"/>
        <v>0</v>
      </c>
      <c r="S51" s="153">
        <f t="shared" si="8"/>
        <v>0</v>
      </c>
      <c r="T51" s="153">
        <f t="shared" si="8"/>
        <v>0</v>
      </c>
      <c r="U51" s="153">
        <f t="shared" si="8"/>
        <v>0</v>
      </c>
      <c r="V51" s="153">
        <f t="shared" si="8"/>
        <v>0</v>
      </c>
      <c r="W51" s="153">
        <f t="shared" si="8"/>
        <v>0</v>
      </c>
      <c r="X51" s="153">
        <f t="shared" si="8"/>
        <v>0</v>
      </c>
      <c r="Y51" s="153">
        <f t="shared" si="8"/>
        <v>0</v>
      </c>
      <c r="Z51" s="153">
        <f t="shared" si="8"/>
        <v>189.28922973413435</v>
      </c>
      <c r="AA51" s="154">
        <f t="shared" si="8"/>
        <v>456.58607109194742</v>
      </c>
      <c r="AD51" s="163">
        <v>1800</v>
      </c>
      <c r="AE51" s="157">
        <v>2250</v>
      </c>
      <c r="AF51" s="152">
        <f>IF(G$33&gt;=$F51,$AD51-SUM($G51:G51),0)</f>
        <v>0</v>
      </c>
      <c r="AG51" s="153">
        <f>IF(H$33&gt;=$F51,$AD51-SUM($G51:H51),0)</f>
        <v>0</v>
      </c>
      <c r="AH51" s="153">
        <f>IF(I$33&gt;=$F51,$AD51-SUM($G51:I51),0)</f>
        <v>0</v>
      </c>
      <c r="AI51" s="153">
        <f>IF(J$33&gt;=$F51,$AD51-SUM($G51:J51),0)</f>
        <v>0</v>
      </c>
      <c r="AJ51" s="153">
        <f>IF(K$33&gt;=$F51,$AD51-SUM($G51:K51),0)</f>
        <v>0</v>
      </c>
      <c r="AK51" s="153">
        <f>IF(L$33&gt;=$F51,$AD51-SUM($G51:L51),0)</f>
        <v>0</v>
      </c>
      <c r="AL51" s="153">
        <f>IF(M$33&gt;=$F51,$AD51-SUM($G51:M51),0)</f>
        <v>0</v>
      </c>
      <c r="AM51" s="153">
        <f>IF(N$33&gt;=$F51,$AD51-SUM($G51:N51),0)</f>
        <v>0</v>
      </c>
      <c r="AN51" s="153">
        <f>IF(O$33&gt;=$F51,$AD51-SUM($G51:O51),0)</f>
        <v>0</v>
      </c>
      <c r="AO51" s="153">
        <f>IF(P$33&gt;=$F51,$AD51-SUM($G51:P51),0)</f>
        <v>0</v>
      </c>
      <c r="AP51" s="153">
        <f>IF(Q$33&gt;=$F51,$AD51-SUM($G51:Q51),0)</f>
        <v>0</v>
      </c>
      <c r="AQ51" s="153">
        <f>IF(R$33&gt;=$F51,$AD51-SUM($G51:R51),0)</f>
        <v>0</v>
      </c>
      <c r="AR51" s="153">
        <f>IF(S$33&gt;=$F51,$AD51-SUM($G51:S51),0)</f>
        <v>0</v>
      </c>
      <c r="AS51" s="153">
        <f>IF(T$33&gt;=$F51,$AD51-SUM($G51:T51),0)</f>
        <v>0</v>
      </c>
      <c r="AT51" s="153">
        <f>IF(U$33&gt;=$F51,$AD51-SUM($G51:U51),0)</f>
        <v>0</v>
      </c>
      <c r="AU51" s="153">
        <f>IF(V$33&gt;=$F51,$AD51-SUM($G51:V51),0)</f>
        <v>0</v>
      </c>
      <c r="AV51" s="153">
        <f>IF(W$33&gt;=$F51,$AD51-SUM($G51:W51),0)</f>
        <v>0</v>
      </c>
      <c r="AW51" s="153">
        <f>IF(X$33&gt;=$F51,$AD51-SUM($G51:X51),0)</f>
        <v>1800</v>
      </c>
      <c r="AX51" s="153">
        <f>IF(Y$33&gt;=$F51,$AD51-SUM($G51:Y51),0)</f>
        <v>1800</v>
      </c>
      <c r="AY51" s="153">
        <f>IF(Z$33&gt;=$F51,$AD51-SUM($G51:Z51),0)</f>
        <v>1610.7107702658657</v>
      </c>
      <c r="AZ51" s="154">
        <f>IF(AA$33&gt;=$F51,$AD51-SUM($G51:AA51),0)</f>
        <v>1154.1246991739181</v>
      </c>
    </row>
    <row r="52" spans="5:52" x14ac:dyDescent="0.3">
      <c r="E52" s="179">
        <v>1900</v>
      </c>
      <c r="F52" s="157">
        <v>2260</v>
      </c>
      <c r="G52" s="152">
        <f t="shared" si="3"/>
        <v>0</v>
      </c>
      <c r="H52" s="153">
        <f t="shared" si="7"/>
        <v>0</v>
      </c>
      <c r="I52" s="153">
        <f t="shared" si="7"/>
        <v>0</v>
      </c>
      <c r="J52" s="153">
        <f t="shared" si="7"/>
        <v>0</v>
      </c>
      <c r="K52" s="153">
        <f t="shared" si="7"/>
        <v>0</v>
      </c>
      <c r="L52" s="153">
        <f t="shared" si="7"/>
        <v>0</v>
      </c>
      <c r="M52" s="153">
        <f t="shared" si="7"/>
        <v>0</v>
      </c>
      <c r="N52" s="153">
        <f t="shared" si="7"/>
        <v>0</v>
      </c>
      <c r="O52" s="153">
        <f t="shared" si="7"/>
        <v>0</v>
      </c>
      <c r="P52" s="153">
        <f t="shared" si="7"/>
        <v>0</v>
      </c>
      <c r="Q52" s="153">
        <f t="shared" si="7"/>
        <v>0</v>
      </c>
      <c r="R52" s="153">
        <f t="shared" si="8"/>
        <v>0</v>
      </c>
      <c r="S52" s="153">
        <f t="shared" si="8"/>
        <v>0</v>
      </c>
      <c r="T52" s="153">
        <f t="shared" si="8"/>
        <v>0</v>
      </c>
      <c r="U52" s="153">
        <f t="shared" si="8"/>
        <v>0</v>
      </c>
      <c r="V52" s="153">
        <f t="shared" si="8"/>
        <v>0</v>
      </c>
      <c r="W52" s="153">
        <f t="shared" si="8"/>
        <v>0</v>
      </c>
      <c r="X52" s="153">
        <f t="shared" si="8"/>
        <v>0</v>
      </c>
      <c r="Y52" s="153">
        <f t="shared" si="8"/>
        <v>0</v>
      </c>
      <c r="Z52" s="153">
        <f t="shared" si="8"/>
        <v>0</v>
      </c>
      <c r="AA52" s="154">
        <f t="shared" si="8"/>
        <v>199.80529805269737</v>
      </c>
      <c r="AD52" s="163">
        <v>1900</v>
      </c>
      <c r="AE52" s="157">
        <v>2260</v>
      </c>
      <c r="AF52" s="152">
        <f>IF(G$33&gt;=$F52,$AD52-SUM($G52:G52),0)</f>
        <v>0</v>
      </c>
      <c r="AG52" s="153">
        <f>IF(H$33&gt;=$F52,$AD52-SUM($G52:H52),0)</f>
        <v>0</v>
      </c>
      <c r="AH52" s="153">
        <f>IF(I$33&gt;=$F52,$AD52-SUM($G52:I52),0)</f>
        <v>0</v>
      </c>
      <c r="AI52" s="153">
        <f>IF(J$33&gt;=$F52,$AD52-SUM($G52:J52),0)</f>
        <v>0</v>
      </c>
      <c r="AJ52" s="153">
        <f>IF(K$33&gt;=$F52,$AD52-SUM($G52:K52),0)</f>
        <v>0</v>
      </c>
      <c r="AK52" s="153">
        <f>IF(L$33&gt;=$F52,$AD52-SUM($G52:L52),0)</f>
        <v>0</v>
      </c>
      <c r="AL52" s="153">
        <f>IF(M$33&gt;=$F52,$AD52-SUM($G52:M52),0)</f>
        <v>0</v>
      </c>
      <c r="AM52" s="153">
        <f>IF(N$33&gt;=$F52,$AD52-SUM($G52:N52),0)</f>
        <v>0</v>
      </c>
      <c r="AN52" s="153">
        <f>IF(O$33&gt;=$F52,$AD52-SUM($G52:O52),0)</f>
        <v>0</v>
      </c>
      <c r="AO52" s="153">
        <f>IF(P$33&gt;=$F52,$AD52-SUM($G52:P52),0)</f>
        <v>0</v>
      </c>
      <c r="AP52" s="153">
        <f>IF(Q$33&gt;=$F52,$AD52-SUM($G52:Q52),0)</f>
        <v>0</v>
      </c>
      <c r="AQ52" s="153">
        <f>IF(R$33&gt;=$F52,$AD52-SUM($G52:R52),0)</f>
        <v>0</v>
      </c>
      <c r="AR52" s="153">
        <f>IF(S$33&gt;=$F52,$AD52-SUM($G52:S52),0)</f>
        <v>0</v>
      </c>
      <c r="AS52" s="153">
        <f>IF(T$33&gt;=$F52,$AD52-SUM($G52:T52),0)</f>
        <v>0</v>
      </c>
      <c r="AT52" s="153">
        <f>IF(U$33&gt;=$F52,$AD52-SUM($G52:U52),0)</f>
        <v>0</v>
      </c>
      <c r="AU52" s="153">
        <f>IF(V$33&gt;=$F52,$AD52-SUM($G52:V52),0)</f>
        <v>0</v>
      </c>
      <c r="AV52" s="153">
        <f>IF(W$33&gt;=$F52,$AD52-SUM($G52:W52),0)</f>
        <v>0</v>
      </c>
      <c r="AW52" s="153">
        <f>IF(X$33&gt;=$F52,$AD52-SUM($G52:X52),0)</f>
        <v>0</v>
      </c>
      <c r="AX52" s="153">
        <f>IF(Y$33&gt;=$F52,$AD52-SUM($G52:Y52),0)</f>
        <v>1900</v>
      </c>
      <c r="AY52" s="153">
        <f>IF(Z$33&gt;=$F52,$AD52-SUM($G52:Z52),0)</f>
        <v>1900</v>
      </c>
      <c r="AZ52" s="154">
        <f>IF(AA$33&gt;=$F52,$AD52-SUM($G52:AA52),0)</f>
        <v>1700.1947019473027</v>
      </c>
    </row>
    <row r="53" spans="5:52" x14ac:dyDescent="0.3">
      <c r="E53" s="179">
        <v>2000</v>
      </c>
      <c r="F53" s="157">
        <v>2270</v>
      </c>
      <c r="G53" s="152">
        <f t="shared" si="3"/>
        <v>0</v>
      </c>
      <c r="H53" s="153">
        <f t="shared" si="7"/>
        <v>0</v>
      </c>
      <c r="I53" s="153">
        <f t="shared" si="7"/>
        <v>0</v>
      </c>
      <c r="J53" s="153">
        <f t="shared" si="7"/>
        <v>0</v>
      </c>
      <c r="K53" s="153">
        <f t="shared" si="7"/>
        <v>0</v>
      </c>
      <c r="L53" s="153">
        <f t="shared" si="7"/>
        <v>0</v>
      </c>
      <c r="M53" s="153">
        <f t="shared" si="7"/>
        <v>0</v>
      </c>
      <c r="N53" s="153">
        <f t="shared" si="7"/>
        <v>0</v>
      </c>
      <c r="O53" s="153">
        <f t="shared" si="7"/>
        <v>0</v>
      </c>
      <c r="P53" s="153">
        <f t="shared" si="7"/>
        <v>0</v>
      </c>
      <c r="Q53" s="153">
        <f t="shared" si="7"/>
        <v>0</v>
      </c>
      <c r="R53" s="153">
        <f t="shared" si="8"/>
        <v>0</v>
      </c>
      <c r="S53" s="153">
        <f t="shared" si="8"/>
        <v>0</v>
      </c>
      <c r="T53" s="153">
        <f t="shared" si="8"/>
        <v>0</v>
      </c>
      <c r="U53" s="153">
        <f t="shared" si="8"/>
        <v>0</v>
      </c>
      <c r="V53" s="153">
        <f t="shared" si="8"/>
        <v>0</v>
      </c>
      <c r="W53" s="153">
        <f t="shared" si="8"/>
        <v>0</v>
      </c>
      <c r="X53" s="153">
        <f t="shared" si="8"/>
        <v>0</v>
      </c>
      <c r="Y53" s="153">
        <f t="shared" si="8"/>
        <v>0</v>
      </c>
      <c r="Z53" s="153">
        <f t="shared" si="8"/>
        <v>0</v>
      </c>
      <c r="AA53" s="154">
        <f t="shared" si="8"/>
        <v>0</v>
      </c>
      <c r="AD53" s="163">
        <v>2000</v>
      </c>
      <c r="AE53" s="157">
        <v>2270</v>
      </c>
      <c r="AF53" s="152">
        <f>IF(G$33&gt;=$F53,$AD53-SUM($G53:G53),0)</f>
        <v>0</v>
      </c>
      <c r="AG53" s="153">
        <f>IF(H$33&gt;=$F53,$AD53-SUM($G53:H53),0)</f>
        <v>0</v>
      </c>
      <c r="AH53" s="153">
        <f>IF(I$33&gt;=$F53,$AD53-SUM($G53:I53),0)</f>
        <v>0</v>
      </c>
      <c r="AI53" s="153">
        <f>IF(J$33&gt;=$F53,$AD53-SUM($G53:J53),0)</f>
        <v>0</v>
      </c>
      <c r="AJ53" s="153">
        <f>IF(K$33&gt;=$F53,$AD53-SUM($G53:K53),0)</f>
        <v>0</v>
      </c>
      <c r="AK53" s="153">
        <f>IF(L$33&gt;=$F53,$AD53-SUM($G53:L53),0)</f>
        <v>0</v>
      </c>
      <c r="AL53" s="153">
        <f>IF(M$33&gt;=$F53,$AD53-SUM($G53:M53),0)</f>
        <v>0</v>
      </c>
      <c r="AM53" s="153">
        <f>IF(N$33&gt;=$F53,$AD53-SUM($G53:N53),0)</f>
        <v>0</v>
      </c>
      <c r="AN53" s="153">
        <f>IF(O$33&gt;=$F53,$AD53-SUM($G53:O53),0)</f>
        <v>0</v>
      </c>
      <c r="AO53" s="153">
        <f>IF(P$33&gt;=$F53,$AD53-SUM($G53:P53),0)</f>
        <v>0</v>
      </c>
      <c r="AP53" s="153">
        <f>IF(Q$33&gt;=$F53,$AD53-SUM($G53:Q53),0)</f>
        <v>0</v>
      </c>
      <c r="AQ53" s="153">
        <f>IF(R$33&gt;=$F53,$AD53-SUM($G53:R53),0)</f>
        <v>0</v>
      </c>
      <c r="AR53" s="153">
        <f>IF(S$33&gt;=$F53,$AD53-SUM($G53:S53),0)</f>
        <v>0</v>
      </c>
      <c r="AS53" s="153">
        <f>IF(T$33&gt;=$F53,$AD53-SUM($G53:T53),0)</f>
        <v>0</v>
      </c>
      <c r="AT53" s="153">
        <f>IF(U$33&gt;=$F53,$AD53-SUM($G53:U53),0)</f>
        <v>0</v>
      </c>
      <c r="AU53" s="153">
        <f>IF(V$33&gt;=$F53,$AD53-SUM($G53:V53),0)</f>
        <v>0</v>
      </c>
      <c r="AV53" s="153">
        <f>IF(W$33&gt;=$F53,$AD53-SUM($G53:W53),0)</f>
        <v>0</v>
      </c>
      <c r="AW53" s="153">
        <f>IF(X$33&gt;=$F53,$AD53-SUM($G53:X53),0)</f>
        <v>0</v>
      </c>
      <c r="AX53" s="153">
        <f>IF(Y$33&gt;=$F53,$AD53-SUM($G53:Y53),0)</f>
        <v>0</v>
      </c>
      <c r="AY53" s="153">
        <f>IF(Z$33&gt;=$F53,$AD53-SUM($G53:Z53),0)</f>
        <v>2000</v>
      </c>
      <c r="AZ53" s="154">
        <f>IF(AA$33&gt;=$F53,$AD53-SUM($G53:AA53),0)</f>
        <v>2000</v>
      </c>
    </row>
    <row r="54" spans="5:52" ht="15" thickBot="1" x14ac:dyDescent="0.35">
      <c r="E54" s="180">
        <v>2100</v>
      </c>
      <c r="F54" s="158">
        <v>2280</v>
      </c>
      <c r="G54" s="155">
        <f t="shared" si="3"/>
        <v>0</v>
      </c>
      <c r="H54" s="148">
        <f t="shared" si="7"/>
        <v>0</v>
      </c>
      <c r="I54" s="148">
        <f t="shared" si="7"/>
        <v>0</v>
      </c>
      <c r="J54" s="148">
        <f t="shared" si="7"/>
        <v>0</v>
      </c>
      <c r="K54" s="148">
        <f t="shared" si="7"/>
        <v>0</v>
      </c>
      <c r="L54" s="148">
        <f t="shared" si="7"/>
        <v>0</v>
      </c>
      <c r="M54" s="148">
        <f t="shared" si="7"/>
        <v>0</v>
      </c>
      <c r="N54" s="148">
        <f t="shared" si="7"/>
        <v>0</v>
      </c>
      <c r="O54" s="148">
        <f t="shared" si="7"/>
        <v>0</v>
      </c>
      <c r="P54" s="148">
        <f t="shared" si="7"/>
        <v>0</v>
      </c>
      <c r="Q54" s="148">
        <f t="shared" si="7"/>
        <v>0</v>
      </c>
      <c r="R54" s="148">
        <f t="shared" si="8"/>
        <v>0</v>
      </c>
      <c r="S54" s="148">
        <f t="shared" si="8"/>
        <v>0</v>
      </c>
      <c r="T54" s="148">
        <f t="shared" si="8"/>
        <v>0</v>
      </c>
      <c r="U54" s="148">
        <f t="shared" si="8"/>
        <v>0</v>
      </c>
      <c r="V54" s="148">
        <f t="shared" si="8"/>
        <v>0</v>
      </c>
      <c r="W54" s="148">
        <f t="shared" si="8"/>
        <v>0</v>
      </c>
      <c r="X54" s="148">
        <f t="shared" si="8"/>
        <v>0</v>
      </c>
      <c r="Y54" s="148">
        <f t="shared" si="8"/>
        <v>0</v>
      </c>
      <c r="Z54" s="148">
        <f t="shared" si="8"/>
        <v>0</v>
      </c>
      <c r="AA54" s="156">
        <f t="shared" si="8"/>
        <v>0</v>
      </c>
      <c r="AD54" s="169">
        <v>2100</v>
      </c>
      <c r="AE54" s="158">
        <v>2280</v>
      </c>
      <c r="AF54" s="155">
        <f>IF(G$33&gt;=$F54,$AD54-SUM($G54:G54),0)</f>
        <v>0</v>
      </c>
      <c r="AG54" s="148">
        <f>IF(H$33&gt;=$F54,$AD54-SUM($G54:H54),0)</f>
        <v>0</v>
      </c>
      <c r="AH54" s="148">
        <f>IF(I$33&gt;=$F54,$AD54-SUM($G54:I54),0)</f>
        <v>0</v>
      </c>
      <c r="AI54" s="148">
        <f>IF(J$33&gt;=$F54,$AD54-SUM($G54:J54),0)</f>
        <v>0</v>
      </c>
      <c r="AJ54" s="148">
        <f>IF(K$33&gt;=$F54,$AD54-SUM($G54:K54),0)</f>
        <v>0</v>
      </c>
      <c r="AK54" s="148">
        <f>IF(L$33&gt;=$F54,$AD54-SUM($G54:L54),0)</f>
        <v>0</v>
      </c>
      <c r="AL54" s="148">
        <f>IF(M$33&gt;=$F54,$AD54-SUM($G54:M54),0)</f>
        <v>0</v>
      </c>
      <c r="AM54" s="148">
        <f>IF(N$33&gt;=$F54,$AD54-SUM($G54:N54),0)</f>
        <v>0</v>
      </c>
      <c r="AN54" s="148">
        <f>IF(O$33&gt;=$F54,$AD54-SUM($G54:O54),0)</f>
        <v>0</v>
      </c>
      <c r="AO54" s="148">
        <f>IF(P$33&gt;=$F54,$AD54-SUM($G54:P54),0)</f>
        <v>0</v>
      </c>
      <c r="AP54" s="148">
        <f>IF(Q$33&gt;=$F54,$AD54-SUM($G54:Q54),0)</f>
        <v>0</v>
      </c>
      <c r="AQ54" s="148">
        <f>IF(R$33&gt;=$F54,$AD54-SUM($G54:R54),0)</f>
        <v>0</v>
      </c>
      <c r="AR54" s="148">
        <f>IF(S$33&gt;=$F54,$AD54-SUM($G54:S54),0)</f>
        <v>0</v>
      </c>
      <c r="AS54" s="148">
        <f>IF(T$33&gt;=$F54,$AD54-SUM($G54:T54),0)</f>
        <v>0</v>
      </c>
      <c r="AT54" s="148">
        <f>IF(U$33&gt;=$F54,$AD54-SUM($G54:U54),0)</f>
        <v>0</v>
      </c>
      <c r="AU54" s="148">
        <f>IF(V$33&gt;=$F54,$AD54-SUM($G54:V54),0)</f>
        <v>0</v>
      </c>
      <c r="AV54" s="148">
        <f>IF(W$33&gt;=$F54,$AD54-SUM($G54:W54),0)</f>
        <v>0</v>
      </c>
      <c r="AW54" s="148">
        <f>IF(X$33&gt;=$F54,$AD54-SUM($G54:X54),0)</f>
        <v>0</v>
      </c>
      <c r="AX54" s="148">
        <f>IF(Y$33&gt;=$F54,$AD54-SUM($G54:Y54),0)</f>
        <v>0</v>
      </c>
      <c r="AY54" s="148">
        <f>IF(Z$33&gt;=$F54,$AD54-SUM($G54:Z54),0)</f>
        <v>0</v>
      </c>
      <c r="AZ54" s="156">
        <f>IF(AA$33&gt;=$F54,$AD54-SUM($G54:AA54),0)</f>
        <v>2100</v>
      </c>
    </row>
    <row r="55" spans="5:52" ht="15" thickTop="1" x14ac:dyDescent="0.3">
      <c r="E55" s="172">
        <f>SUM(E33:E54)</f>
        <v>23100</v>
      </c>
      <c r="F55" s="105" t="s">
        <v>75</v>
      </c>
      <c r="G55" s="173">
        <f>SUM(G34:G54)</f>
        <v>0</v>
      </c>
      <c r="H55" s="173">
        <f t="shared" ref="H55:AA55" si="9">SUM(H34:H54)</f>
        <v>0</v>
      </c>
      <c r="I55" s="173">
        <f t="shared" si="9"/>
        <v>10.51606831856302</v>
      </c>
      <c r="J55" s="173">
        <f t="shared" si="9"/>
        <v>46.398029475567562</v>
      </c>
      <c r="K55" s="173">
        <f t="shared" si="9"/>
        <v>109.61008535842332</v>
      </c>
      <c r="L55" s="173">
        <f t="shared" si="9"/>
        <v>192.70875381781673</v>
      </c>
      <c r="M55" s="173">
        <f t="shared" si="9"/>
        <v>286.4911014156051</v>
      </c>
      <c r="N55" s="173">
        <f t="shared" si="9"/>
        <v>384.6595375267317</v>
      </c>
      <c r="O55" s="173">
        <f t="shared" si="9"/>
        <v>484.22751357932231</v>
      </c>
      <c r="P55" s="173">
        <f t="shared" si="9"/>
        <v>584.14591479581497</v>
      </c>
      <c r="Q55" s="173">
        <f t="shared" si="9"/>
        <v>684.13357381540641</v>
      </c>
      <c r="R55" s="173">
        <f t="shared" si="9"/>
        <v>784.13207928155384</v>
      </c>
      <c r="S55" s="173">
        <f t="shared" si="9"/>
        <v>884.13193435366532</v>
      </c>
      <c r="T55" s="173">
        <f t="shared" si="9"/>
        <v>984.13192310014756</v>
      </c>
      <c r="U55" s="173">
        <f t="shared" si="9"/>
        <v>1084.131922400443</v>
      </c>
      <c r="V55" s="173">
        <f t="shared" si="9"/>
        <v>1184.1319223656069</v>
      </c>
      <c r="W55" s="173">
        <f t="shared" si="9"/>
        <v>1284.1319223642181</v>
      </c>
      <c r="X55" s="173">
        <f t="shared" si="9"/>
        <v>1384.1319223641735</v>
      </c>
      <c r="Y55" s="173">
        <f t="shared" si="9"/>
        <v>1484.1319223641726</v>
      </c>
      <c r="Z55" s="173">
        <f t="shared" si="9"/>
        <v>1584.1319223641724</v>
      </c>
      <c r="AA55" s="173">
        <f t="shared" si="9"/>
        <v>1684.1319223641726</v>
      </c>
      <c r="AD55" s="172">
        <f>SUM(AD33:AD54)</f>
        <v>23100</v>
      </c>
      <c r="AE55" s="105" t="s">
        <v>75</v>
      </c>
      <c r="AF55" s="173">
        <f>SUM(AF34:AF54)</f>
        <v>100</v>
      </c>
      <c r="AG55" s="173">
        <f t="shared" ref="AG55" si="10">SUM(AG34:AG54)</f>
        <v>300</v>
      </c>
      <c r="AH55" s="173">
        <f t="shared" ref="AH55" si="11">SUM(AH34:AH54)</f>
        <v>589.48393168143696</v>
      </c>
      <c r="AI55" s="173">
        <f t="shared" ref="AI55" si="12">SUM(AI34:AI54)</f>
        <v>943.08590220586939</v>
      </c>
      <c r="AJ55" s="173">
        <f t="shared" ref="AJ55" si="13">SUM(AJ34:AJ54)</f>
        <v>1333.4758168474461</v>
      </c>
      <c r="AK55" s="173">
        <f t="shared" ref="AK55" si="14">SUM(AK34:AK54)</f>
        <v>1740.7670630296293</v>
      </c>
      <c r="AL55" s="173">
        <f t="shared" ref="AL55" si="15">SUM(AL34:AL54)</f>
        <v>2154.2759616140243</v>
      </c>
      <c r="AM55" s="173">
        <f t="shared" ref="AM55" si="16">SUM(AM34:AM54)</f>
        <v>2569.6164240872927</v>
      </c>
      <c r="AN55" s="173">
        <f t="shared" ref="AN55" si="17">SUM(AN34:AN54)</f>
        <v>2985.3889105079702</v>
      </c>
      <c r="AO55" s="173">
        <f t="shared" ref="AO55" si="18">SUM(AO34:AO54)</f>
        <v>3401.2429957121553</v>
      </c>
      <c r="AP55" s="173">
        <f t="shared" ref="AP55" si="19">SUM(AP34:AP54)</f>
        <v>3817.1094218967492</v>
      </c>
      <c r="AQ55" s="173">
        <f t="shared" ref="AQ55" si="20">SUM(AQ34:AQ54)</f>
        <v>4232.9773426151951</v>
      </c>
      <c r="AR55" s="173">
        <f t="shared" ref="AR55" si="21">SUM(AR34:AR54)</f>
        <v>4648.8454082615299</v>
      </c>
      <c r="AS55" s="173">
        <f t="shared" ref="AS55" si="22">SUM(AS34:AS54)</f>
        <v>5064.7134851613819</v>
      </c>
      <c r="AT55" s="173">
        <f t="shared" ref="AT55" si="23">SUM(AT34:AT54)</f>
        <v>5480.5815627609391</v>
      </c>
      <c r="AU55" s="173">
        <f t="shared" ref="AU55" si="24">SUM(AU34:AU54)</f>
        <v>5896.4496403953317</v>
      </c>
      <c r="AV55" s="173">
        <f t="shared" ref="AV55" si="25">SUM(AV34:AV54)</f>
        <v>6312.3177180311141</v>
      </c>
      <c r="AW55" s="173">
        <f t="shared" ref="AW55" si="26">SUM(AW34:AW54)</f>
        <v>6728.1857956669401</v>
      </c>
      <c r="AX55" s="173">
        <f t="shared" ref="AX55" si="27">SUM(AX34:AX54)</f>
        <v>7144.0538733027679</v>
      </c>
      <c r="AY55" s="173">
        <f t="shared" ref="AY55" si="28">SUM(AY34:AY54)</f>
        <v>7559.9219509385948</v>
      </c>
      <c r="AZ55" s="173">
        <f t="shared" ref="AZ55" si="29">SUM(AZ34:AZ54)</f>
        <v>7975.7900285744217</v>
      </c>
    </row>
    <row r="56" spans="5:52" x14ac:dyDescent="0.3">
      <c r="E56" s="167"/>
      <c r="AD56" s="167"/>
    </row>
    <row r="58" spans="5:52" x14ac:dyDescent="0.3">
      <c r="G58" s="106" t="s">
        <v>78</v>
      </c>
      <c r="AF58" s="106" t="s">
        <v>81</v>
      </c>
    </row>
    <row r="59" spans="5:52" x14ac:dyDescent="0.3">
      <c r="G59" s="106" t="s">
        <v>79</v>
      </c>
      <c r="AF59" s="106" t="s">
        <v>82</v>
      </c>
    </row>
    <row r="60" spans="5:52" x14ac:dyDescent="0.3">
      <c r="E60" s="163" t="s">
        <v>74</v>
      </c>
      <c r="F60" s="106" t="s">
        <v>73</v>
      </c>
      <c r="G60" s="106">
        <v>2080</v>
      </c>
      <c r="H60" s="106">
        <v>2090</v>
      </c>
      <c r="I60" s="106">
        <v>2100</v>
      </c>
      <c r="J60" s="106">
        <v>2110</v>
      </c>
      <c r="K60" s="106">
        <v>2120</v>
      </c>
      <c r="L60" s="106">
        <v>2130</v>
      </c>
      <c r="M60" s="106">
        <v>2140</v>
      </c>
      <c r="N60" s="106">
        <v>2150</v>
      </c>
      <c r="O60" s="106">
        <v>2160</v>
      </c>
      <c r="P60" s="106">
        <v>2170</v>
      </c>
      <c r="Q60" s="106">
        <v>2180</v>
      </c>
      <c r="R60" s="106">
        <v>2190</v>
      </c>
      <c r="S60" s="106">
        <v>2200</v>
      </c>
      <c r="T60" s="106">
        <v>2210</v>
      </c>
      <c r="U60" s="106">
        <v>2220</v>
      </c>
      <c r="V60" s="106">
        <v>2230</v>
      </c>
      <c r="W60" s="106">
        <v>2240</v>
      </c>
      <c r="X60" s="106">
        <v>2250</v>
      </c>
      <c r="Y60" s="106">
        <v>2260</v>
      </c>
      <c r="Z60" s="106">
        <v>2270</v>
      </c>
      <c r="AA60" s="106">
        <v>2280</v>
      </c>
      <c r="AD60" s="163" t="s">
        <v>74</v>
      </c>
      <c r="AE60" s="106" t="s">
        <v>73</v>
      </c>
      <c r="AF60" s="106">
        <v>2080</v>
      </c>
      <c r="AG60" s="106">
        <v>2090</v>
      </c>
      <c r="AH60" s="106">
        <v>2100</v>
      </c>
      <c r="AI60" s="106">
        <v>2110</v>
      </c>
      <c r="AJ60" s="106">
        <v>2120</v>
      </c>
      <c r="AK60" s="106">
        <v>2130</v>
      </c>
      <c r="AL60" s="106">
        <v>2140</v>
      </c>
      <c r="AM60" s="106">
        <v>2150</v>
      </c>
      <c r="AN60" s="106">
        <v>2160</v>
      </c>
      <c r="AO60" s="106">
        <v>2170</v>
      </c>
      <c r="AP60" s="106">
        <v>2180</v>
      </c>
      <c r="AQ60" s="106">
        <v>2190</v>
      </c>
      <c r="AR60" s="106">
        <v>2200</v>
      </c>
      <c r="AS60" s="106">
        <v>2210</v>
      </c>
      <c r="AT60" s="106">
        <v>2220</v>
      </c>
      <c r="AU60" s="106">
        <v>2230</v>
      </c>
      <c r="AV60" s="106">
        <v>2240</v>
      </c>
      <c r="AW60" s="106">
        <v>2250</v>
      </c>
      <c r="AX60" s="106">
        <v>2260</v>
      </c>
      <c r="AY60" s="106">
        <v>2270</v>
      </c>
      <c r="AZ60" s="106">
        <v>2280</v>
      </c>
    </row>
    <row r="61" spans="5:52" x14ac:dyDescent="0.3">
      <c r="E61" s="163">
        <f t="array" ref="E61:E81">$E$34:$E$54</f>
        <v>100</v>
      </c>
      <c r="F61" s="157">
        <v>2080</v>
      </c>
      <c r="G61" s="149">
        <f t="shared" ref="G61:P70" si="30">IF(G$60&gt;=$F61,$E61*INDEX($F$13:$Z$13,MATCH(G$60-$F61,$F$12:$Z$12,0)),0)</f>
        <v>0</v>
      </c>
      <c r="H61" s="150">
        <f t="shared" si="30"/>
        <v>0</v>
      </c>
      <c r="I61" s="150">
        <f t="shared" si="30"/>
        <v>0</v>
      </c>
      <c r="J61" s="150">
        <f t="shared" si="30"/>
        <v>0</v>
      </c>
      <c r="K61" s="150">
        <f t="shared" si="30"/>
        <v>0</v>
      </c>
      <c r="L61" s="150">
        <f t="shared" si="30"/>
        <v>0</v>
      </c>
      <c r="M61" s="150">
        <f t="shared" si="30"/>
        <v>10.51606831856302</v>
      </c>
      <c r="N61" s="150">
        <f t="shared" si="30"/>
        <v>25.365892838441521</v>
      </c>
      <c r="O61" s="150">
        <f t="shared" si="30"/>
        <v>27.330094725851222</v>
      </c>
      <c r="P61" s="150">
        <f t="shared" si="30"/>
        <v>19.886612576537622</v>
      </c>
      <c r="Q61" s="150">
        <f t="shared" ref="Q61:AA70" si="31">IF(Q$60&gt;=$F61,$E61*INDEX($F$13:$Z$13,MATCH(Q$60-$F61,$F$12:$Z$12,0)),0)</f>
        <v>10.683679138394986</v>
      </c>
      <c r="R61" s="150">
        <f t="shared" si="31"/>
        <v>4.3860885133382048</v>
      </c>
      <c r="S61" s="150">
        <f t="shared" si="31"/>
        <v>1.3995399414640119</v>
      </c>
      <c r="T61" s="150">
        <f t="shared" si="31"/>
        <v>0.35042516390219047</v>
      </c>
      <c r="U61" s="150">
        <f t="shared" si="31"/>
        <v>0</v>
      </c>
      <c r="V61" s="150">
        <f t="shared" si="31"/>
        <v>0</v>
      </c>
      <c r="W61" s="150">
        <f t="shared" si="31"/>
        <v>0</v>
      </c>
      <c r="X61" s="150">
        <f t="shared" si="31"/>
        <v>0</v>
      </c>
      <c r="Y61" s="150">
        <f t="shared" si="31"/>
        <v>0</v>
      </c>
      <c r="Z61" s="150">
        <f t="shared" si="31"/>
        <v>0</v>
      </c>
      <c r="AA61" s="151">
        <f t="shared" si="31"/>
        <v>0</v>
      </c>
      <c r="AD61" s="163">
        <f t="array" ref="AD61:AD81">$E$34:$E$54</f>
        <v>100</v>
      </c>
      <c r="AE61" s="157">
        <v>2080</v>
      </c>
      <c r="AF61" s="149">
        <f>IF(G$60&gt;=$F61,$AD61-SUM($G61:G61),0)</f>
        <v>100</v>
      </c>
      <c r="AG61" s="150">
        <f>IF(H$60&gt;=$F61,$AD61-SUM($G61:H61),0)</f>
        <v>100</v>
      </c>
      <c r="AH61" s="150">
        <f>IF(I$60&gt;=$F61,$AD61-SUM($G61:I61),0)</f>
        <v>100</v>
      </c>
      <c r="AI61" s="150">
        <f>IF(J$60&gt;=$F61,$AD61-SUM($G61:J61),0)</f>
        <v>100</v>
      </c>
      <c r="AJ61" s="150">
        <f>IF(K$60&gt;=$F61,$AD61-SUM($G61:K61),0)</f>
        <v>100</v>
      </c>
      <c r="AK61" s="150">
        <f>IF(L$60&gt;=$F61,$AD61-SUM($G61:L61),0)</f>
        <v>100</v>
      </c>
      <c r="AL61" s="150">
        <f>IF(M$60&gt;=$F61,$AD61-SUM($G61:M61),0)</f>
        <v>89.483931681436985</v>
      </c>
      <c r="AM61" s="150">
        <f>IF(N$60&gt;=$F61,$AD61-SUM($G61:N61),0)</f>
        <v>64.11803884299546</v>
      </c>
      <c r="AN61" s="150">
        <f>IF(O$60&gt;=$F61,$AD61-SUM($G61:O61),0)</f>
        <v>36.787944117144235</v>
      </c>
      <c r="AO61" s="150">
        <f>IF(P$60&gt;=$F61,$AD61-SUM($G61:P61),0)</f>
        <v>16.901331540606606</v>
      </c>
      <c r="AP61" s="150">
        <f>IF(Q$60&gt;=$F61,$AD61-SUM($G61:Q61),0)</f>
        <v>6.2176524022116268</v>
      </c>
      <c r="AQ61" s="150">
        <f>IF(R$60&gt;=$F61,$AD61-SUM($G61:R61),0)</f>
        <v>1.8315638888734185</v>
      </c>
      <c r="AR61" s="150">
        <f>IF(S$60&gt;=$F61,$AD61-SUM($G61:S61),0)</f>
        <v>0.4320239474094052</v>
      </c>
      <c r="AS61" s="150">
        <f>IF(T$60&gt;=$F61,$AD61-SUM($G61:T61),0)</f>
        <v>8.1598783507217831E-2</v>
      </c>
      <c r="AT61" s="150">
        <f>IF(U$60&gt;=$F61,$AD61-SUM($G61:U61),0)</f>
        <v>8.1598783507217831E-2</v>
      </c>
      <c r="AU61" s="150">
        <f>IF(V$60&gt;=$F61,$AD61-SUM($G61:V61),0)</f>
        <v>8.1598783507217831E-2</v>
      </c>
      <c r="AV61" s="150">
        <f>IF(W$60&gt;=$F61,$AD61-SUM($G61:W61),0)</f>
        <v>8.1598783507217831E-2</v>
      </c>
      <c r="AW61" s="150">
        <f>IF(X$60&gt;=$F61,$AD61-SUM($G61:X61),0)</f>
        <v>8.1598783507217831E-2</v>
      </c>
      <c r="AX61" s="150">
        <f>IF(Y$60&gt;=$F61,$AD61-SUM($G61:Y61),0)</f>
        <v>8.1598783507217831E-2</v>
      </c>
      <c r="AY61" s="150">
        <f>IF(Z$60&gt;=$F61,$AD61-SUM($G61:Z61),0)</f>
        <v>8.1598783507217831E-2</v>
      </c>
      <c r="AZ61" s="151">
        <f>IF(AA$60&gt;=$F61,$AD61-SUM($G61:AA61),0)</f>
        <v>8.1598783507217831E-2</v>
      </c>
    </row>
    <row r="62" spans="5:52" x14ac:dyDescent="0.3">
      <c r="E62" s="163">
        <v>200</v>
      </c>
      <c r="F62" s="157">
        <v>2090</v>
      </c>
      <c r="G62" s="152">
        <f t="shared" si="30"/>
        <v>0</v>
      </c>
      <c r="H62" s="153">
        <f t="shared" si="30"/>
        <v>0</v>
      </c>
      <c r="I62" s="153">
        <f t="shared" si="30"/>
        <v>0</v>
      </c>
      <c r="J62" s="153">
        <f t="shared" si="30"/>
        <v>0</v>
      </c>
      <c r="K62" s="153">
        <f t="shared" si="30"/>
        <v>0</v>
      </c>
      <c r="L62" s="153">
        <f t="shared" si="30"/>
        <v>0</v>
      </c>
      <c r="M62" s="153">
        <f t="shared" si="30"/>
        <v>0</v>
      </c>
      <c r="N62" s="153">
        <f t="shared" si="30"/>
        <v>21.03213663712604</v>
      </c>
      <c r="O62" s="153">
        <f t="shared" si="30"/>
        <v>50.731785676883042</v>
      </c>
      <c r="P62" s="153">
        <f t="shared" si="30"/>
        <v>54.660189451702443</v>
      </c>
      <c r="Q62" s="153">
        <f t="shared" si="31"/>
        <v>39.773225153075245</v>
      </c>
      <c r="R62" s="153">
        <f t="shared" si="31"/>
        <v>21.367358276789972</v>
      </c>
      <c r="S62" s="153">
        <f t="shared" si="31"/>
        <v>8.7721770266764096</v>
      </c>
      <c r="T62" s="153">
        <f t="shared" si="31"/>
        <v>2.7990798829280239</v>
      </c>
      <c r="U62" s="153">
        <f t="shared" si="31"/>
        <v>0.70085032780438095</v>
      </c>
      <c r="V62" s="153">
        <f t="shared" si="31"/>
        <v>0</v>
      </c>
      <c r="W62" s="153">
        <f t="shared" si="31"/>
        <v>0</v>
      </c>
      <c r="X62" s="153">
        <f t="shared" si="31"/>
        <v>0</v>
      </c>
      <c r="Y62" s="153">
        <f t="shared" si="31"/>
        <v>0</v>
      </c>
      <c r="Z62" s="153">
        <f t="shared" si="31"/>
        <v>0</v>
      </c>
      <c r="AA62" s="154">
        <f t="shared" si="31"/>
        <v>0</v>
      </c>
      <c r="AD62" s="163">
        <v>200</v>
      </c>
      <c r="AE62" s="157">
        <v>2090</v>
      </c>
      <c r="AF62" s="152">
        <f>IF(G$60&gt;=$F62,$AD62-SUM($G62:G62),0)</f>
        <v>0</v>
      </c>
      <c r="AG62" s="153">
        <f>IF(H$60&gt;=$F62,$AD62-SUM($G62:H62),0)</f>
        <v>200</v>
      </c>
      <c r="AH62" s="153">
        <f>IF(I$60&gt;=$F62,$AD62-SUM($G62:I62),0)</f>
        <v>200</v>
      </c>
      <c r="AI62" s="153">
        <f>IF(J$60&gt;=$F62,$AD62-SUM($G62:J62),0)</f>
        <v>200</v>
      </c>
      <c r="AJ62" s="153">
        <f>IF(K$60&gt;=$F62,$AD62-SUM($G62:K62),0)</f>
        <v>200</v>
      </c>
      <c r="AK62" s="153">
        <f>IF(L$60&gt;=$F62,$AD62-SUM($G62:L62),0)</f>
        <v>200</v>
      </c>
      <c r="AL62" s="153">
        <f>IF(M$60&gt;=$F62,$AD62-SUM($G62:M62),0)</f>
        <v>200</v>
      </c>
      <c r="AM62" s="153">
        <f>IF(N$60&gt;=$F62,$AD62-SUM($G62:N62),0)</f>
        <v>178.96786336287397</v>
      </c>
      <c r="AN62" s="153">
        <f>IF(O$60&gt;=$F62,$AD62-SUM($G62:O62),0)</f>
        <v>128.23607768599092</v>
      </c>
      <c r="AO62" s="153">
        <f>IF(P$60&gt;=$F62,$AD62-SUM($G62:P62),0)</f>
        <v>73.57588823428847</v>
      </c>
      <c r="AP62" s="153">
        <f>IF(Q$60&gt;=$F62,$AD62-SUM($G62:Q62),0)</f>
        <v>33.802663081213211</v>
      </c>
      <c r="AQ62" s="153">
        <f>IF(R$60&gt;=$F62,$AD62-SUM($G62:R62),0)</f>
        <v>12.435304804423254</v>
      </c>
      <c r="AR62" s="153">
        <f>IF(S$60&gt;=$F62,$AD62-SUM($G62:S62),0)</f>
        <v>3.663127777746837</v>
      </c>
      <c r="AS62" s="153">
        <f>IF(T$60&gt;=$F62,$AD62-SUM($G62:T62),0)</f>
        <v>0.86404789481881039</v>
      </c>
      <c r="AT62" s="153">
        <f>IF(U$60&gt;=$F62,$AD62-SUM($G62:U62),0)</f>
        <v>0.16319756701443566</v>
      </c>
      <c r="AU62" s="153">
        <f>IF(V$60&gt;=$F62,$AD62-SUM($G62:V62),0)</f>
        <v>0.16319756701443566</v>
      </c>
      <c r="AV62" s="153">
        <f>IF(W$60&gt;=$F62,$AD62-SUM($G62:W62),0)</f>
        <v>0.16319756701443566</v>
      </c>
      <c r="AW62" s="153">
        <f>IF(X$60&gt;=$F62,$AD62-SUM($G62:X62),0)</f>
        <v>0.16319756701443566</v>
      </c>
      <c r="AX62" s="153">
        <f>IF(Y$60&gt;=$F62,$AD62-SUM($G62:Y62),0)</f>
        <v>0.16319756701443566</v>
      </c>
      <c r="AY62" s="153">
        <f>IF(Z$60&gt;=$F62,$AD62-SUM($G62:Z62),0)</f>
        <v>0.16319756701443566</v>
      </c>
      <c r="AZ62" s="154">
        <f>IF(AA$60&gt;=$F62,$AD62-SUM($G62:AA62),0)</f>
        <v>0.16319756701443566</v>
      </c>
    </row>
    <row r="63" spans="5:52" x14ac:dyDescent="0.3">
      <c r="E63" s="163">
        <v>300</v>
      </c>
      <c r="F63" s="157">
        <v>2100</v>
      </c>
      <c r="G63" s="152">
        <f t="shared" si="30"/>
        <v>0</v>
      </c>
      <c r="H63" s="153">
        <f t="shared" si="30"/>
        <v>0</v>
      </c>
      <c r="I63" s="153">
        <f t="shared" si="30"/>
        <v>0</v>
      </c>
      <c r="J63" s="153">
        <f t="shared" si="30"/>
        <v>0</v>
      </c>
      <c r="K63" s="153">
        <f t="shared" si="30"/>
        <v>0</v>
      </c>
      <c r="L63" s="153">
        <f t="shared" si="30"/>
        <v>0</v>
      </c>
      <c r="M63" s="153">
        <f t="shared" si="30"/>
        <v>0</v>
      </c>
      <c r="N63" s="153">
        <f t="shared" si="30"/>
        <v>0</v>
      </c>
      <c r="O63" s="153">
        <f t="shared" si="30"/>
        <v>31.548204955689059</v>
      </c>
      <c r="P63" s="153">
        <f t="shared" si="30"/>
        <v>76.097678515324574</v>
      </c>
      <c r="Q63" s="153">
        <f t="shared" si="31"/>
        <v>81.990284177553661</v>
      </c>
      <c r="R63" s="153">
        <f t="shared" si="31"/>
        <v>59.65983772961286</v>
      </c>
      <c r="S63" s="153">
        <f t="shared" si="31"/>
        <v>32.051037415184958</v>
      </c>
      <c r="T63" s="153">
        <f t="shared" si="31"/>
        <v>13.158265540014613</v>
      </c>
      <c r="U63" s="153">
        <f t="shared" si="31"/>
        <v>4.1986198243920363</v>
      </c>
      <c r="V63" s="153">
        <f t="shared" si="31"/>
        <v>1.0512754917065714</v>
      </c>
      <c r="W63" s="153">
        <f t="shared" si="31"/>
        <v>0</v>
      </c>
      <c r="X63" s="153">
        <f t="shared" si="31"/>
        <v>0</v>
      </c>
      <c r="Y63" s="153">
        <f t="shared" si="31"/>
        <v>0</v>
      </c>
      <c r="Z63" s="153">
        <f t="shared" si="31"/>
        <v>0</v>
      </c>
      <c r="AA63" s="154">
        <f t="shared" si="31"/>
        <v>0</v>
      </c>
      <c r="AD63" s="163">
        <v>300</v>
      </c>
      <c r="AE63" s="157">
        <v>2100</v>
      </c>
      <c r="AF63" s="152">
        <f>IF(G$60&gt;=$F63,$AD63-SUM($G63:G63),0)</f>
        <v>0</v>
      </c>
      <c r="AG63" s="153">
        <f>IF(H$60&gt;=$F63,$AD63-SUM($G63:H63),0)</f>
        <v>0</v>
      </c>
      <c r="AH63" s="153">
        <f>IF(I$60&gt;=$F63,$AD63-SUM($G63:I63),0)</f>
        <v>300</v>
      </c>
      <c r="AI63" s="153">
        <f>IF(J$60&gt;=$F63,$AD63-SUM($G63:J63),0)</f>
        <v>300</v>
      </c>
      <c r="AJ63" s="153">
        <f>IF(K$60&gt;=$F63,$AD63-SUM($G63:K63),0)</f>
        <v>300</v>
      </c>
      <c r="AK63" s="153">
        <f>IF(L$60&gt;=$F63,$AD63-SUM($G63:L63),0)</f>
        <v>300</v>
      </c>
      <c r="AL63" s="153">
        <f>IF(M$60&gt;=$F63,$AD63-SUM($G63:M63),0)</f>
        <v>300</v>
      </c>
      <c r="AM63" s="153">
        <f>IF(N$60&gt;=$F63,$AD63-SUM($G63:N63),0)</f>
        <v>300</v>
      </c>
      <c r="AN63" s="153">
        <f>IF(O$60&gt;=$F63,$AD63-SUM($G63:O63),0)</f>
        <v>268.45179504431093</v>
      </c>
      <c r="AO63" s="153">
        <f>IF(P$60&gt;=$F63,$AD63-SUM($G63:P63),0)</f>
        <v>192.35411652898637</v>
      </c>
      <c r="AP63" s="153">
        <f>IF(Q$60&gt;=$F63,$AD63-SUM($G63:Q63),0)</f>
        <v>110.36383235143271</v>
      </c>
      <c r="AQ63" s="153">
        <f>IF(R$60&gt;=$F63,$AD63-SUM($G63:R63),0)</f>
        <v>50.703994621819845</v>
      </c>
      <c r="AR63" s="153">
        <f>IF(S$60&gt;=$F63,$AD63-SUM($G63:S63),0)</f>
        <v>18.652957206634881</v>
      </c>
      <c r="AS63" s="153">
        <f>IF(T$60&gt;=$F63,$AD63-SUM($G63:T63),0)</f>
        <v>5.4946916666202696</v>
      </c>
      <c r="AT63" s="153">
        <f>IF(U$60&gt;=$F63,$AD63-SUM($G63:U63),0)</f>
        <v>1.2960718422282298</v>
      </c>
      <c r="AU63" s="153">
        <f>IF(V$60&gt;=$F63,$AD63-SUM($G63:V63),0)</f>
        <v>0.24479635052165349</v>
      </c>
      <c r="AV63" s="153">
        <f>IF(W$60&gt;=$F63,$AD63-SUM($G63:W63),0)</f>
        <v>0.24479635052165349</v>
      </c>
      <c r="AW63" s="153">
        <f>IF(X$60&gt;=$F63,$AD63-SUM($G63:X63),0)</f>
        <v>0.24479635052165349</v>
      </c>
      <c r="AX63" s="153">
        <f>IF(Y$60&gt;=$F63,$AD63-SUM($G63:Y63),0)</f>
        <v>0.24479635052165349</v>
      </c>
      <c r="AY63" s="153">
        <f>IF(Z$60&gt;=$F63,$AD63-SUM($G63:Z63),0)</f>
        <v>0.24479635052165349</v>
      </c>
      <c r="AZ63" s="154">
        <f>IF(AA$60&gt;=$F63,$AD63-SUM($G63:AA63),0)</f>
        <v>0.24479635052165349</v>
      </c>
    </row>
    <row r="64" spans="5:52" x14ac:dyDescent="0.3">
      <c r="E64" s="163">
        <v>400</v>
      </c>
      <c r="F64" s="157">
        <v>2110</v>
      </c>
      <c r="G64" s="152">
        <f t="shared" si="30"/>
        <v>0</v>
      </c>
      <c r="H64" s="153">
        <f t="shared" si="30"/>
        <v>0</v>
      </c>
      <c r="I64" s="153">
        <f t="shared" si="30"/>
        <v>0</v>
      </c>
      <c r="J64" s="153">
        <f t="shared" si="30"/>
        <v>0</v>
      </c>
      <c r="K64" s="153">
        <f t="shared" si="30"/>
        <v>0</v>
      </c>
      <c r="L64" s="153">
        <f t="shared" si="30"/>
        <v>0</v>
      </c>
      <c r="M64" s="153">
        <f t="shared" si="30"/>
        <v>0</v>
      </c>
      <c r="N64" s="153">
        <f t="shared" si="30"/>
        <v>0</v>
      </c>
      <c r="O64" s="153">
        <f t="shared" si="30"/>
        <v>0</v>
      </c>
      <c r="P64" s="153">
        <f t="shared" si="30"/>
        <v>42.064273274252081</v>
      </c>
      <c r="Q64" s="153">
        <f t="shared" si="31"/>
        <v>101.46357135376608</v>
      </c>
      <c r="R64" s="153">
        <f t="shared" si="31"/>
        <v>109.32037890340489</v>
      </c>
      <c r="S64" s="153">
        <f t="shared" si="31"/>
        <v>79.54645030615049</v>
      </c>
      <c r="T64" s="153">
        <f t="shared" si="31"/>
        <v>42.734716553579943</v>
      </c>
      <c r="U64" s="153">
        <f t="shared" si="31"/>
        <v>17.544354053352819</v>
      </c>
      <c r="V64" s="153">
        <f t="shared" si="31"/>
        <v>5.5981597658560478</v>
      </c>
      <c r="W64" s="153">
        <f t="shared" si="31"/>
        <v>1.4017006556087619</v>
      </c>
      <c r="X64" s="153">
        <f t="shared" si="31"/>
        <v>0</v>
      </c>
      <c r="Y64" s="153">
        <f t="shared" si="31"/>
        <v>0</v>
      </c>
      <c r="Z64" s="153">
        <f t="shared" si="31"/>
        <v>0</v>
      </c>
      <c r="AA64" s="154">
        <f t="shared" si="31"/>
        <v>0</v>
      </c>
      <c r="AD64" s="163">
        <v>400</v>
      </c>
      <c r="AE64" s="157">
        <v>2110</v>
      </c>
      <c r="AF64" s="152">
        <f>IF(G$60&gt;=$F64,$AD64-SUM($G64:G64),0)</f>
        <v>0</v>
      </c>
      <c r="AG64" s="153">
        <f>IF(H$60&gt;=$F64,$AD64-SUM($G64:H64),0)</f>
        <v>0</v>
      </c>
      <c r="AH64" s="153">
        <f>IF(I$60&gt;=$F64,$AD64-SUM($G64:I64),0)</f>
        <v>0</v>
      </c>
      <c r="AI64" s="153">
        <f>IF(J$60&gt;=$F64,$AD64-SUM($G64:J64),0)</f>
        <v>400</v>
      </c>
      <c r="AJ64" s="153">
        <f>IF(K$60&gt;=$F64,$AD64-SUM($G64:K64),0)</f>
        <v>400</v>
      </c>
      <c r="AK64" s="153">
        <f>IF(L$60&gt;=$F64,$AD64-SUM($G64:L64),0)</f>
        <v>400</v>
      </c>
      <c r="AL64" s="153">
        <f>IF(M$60&gt;=$F64,$AD64-SUM($G64:M64),0)</f>
        <v>400</v>
      </c>
      <c r="AM64" s="153">
        <f>IF(N$60&gt;=$F64,$AD64-SUM($G64:N64),0)</f>
        <v>400</v>
      </c>
      <c r="AN64" s="153">
        <f>IF(O$60&gt;=$F64,$AD64-SUM($G64:O64),0)</f>
        <v>400</v>
      </c>
      <c r="AO64" s="153">
        <f>IF(P$60&gt;=$F64,$AD64-SUM($G64:P64),0)</f>
        <v>357.93572672574794</v>
      </c>
      <c r="AP64" s="153">
        <f>IF(Q$60&gt;=$F64,$AD64-SUM($G64:Q64),0)</f>
        <v>256.47215537198184</v>
      </c>
      <c r="AQ64" s="153">
        <f>IF(R$60&gt;=$F64,$AD64-SUM($G64:R64),0)</f>
        <v>147.15177646857694</v>
      </c>
      <c r="AR64" s="153">
        <f>IF(S$60&gt;=$F64,$AD64-SUM($G64:S64),0)</f>
        <v>67.605326162426422</v>
      </c>
      <c r="AS64" s="153">
        <f>IF(T$60&gt;=$F64,$AD64-SUM($G64:T64),0)</f>
        <v>24.870609608846507</v>
      </c>
      <c r="AT64" s="153">
        <f>IF(U$60&gt;=$F64,$AD64-SUM($G64:U64),0)</f>
        <v>7.3262555554936739</v>
      </c>
      <c r="AU64" s="153">
        <f>IF(V$60&gt;=$F64,$AD64-SUM($G64:V64),0)</f>
        <v>1.7280957896376208</v>
      </c>
      <c r="AV64" s="153">
        <f>IF(W$60&gt;=$F64,$AD64-SUM($G64:W64),0)</f>
        <v>0.32639513402887133</v>
      </c>
      <c r="AW64" s="153">
        <f>IF(X$60&gt;=$F64,$AD64-SUM($G64:X64),0)</f>
        <v>0.32639513402887133</v>
      </c>
      <c r="AX64" s="153">
        <f>IF(Y$60&gt;=$F64,$AD64-SUM($G64:Y64),0)</f>
        <v>0.32639513402887133</v>
      </c>
      <c r="AY64" s="153">
        <f>IF(Z$60&gt;=$F64,$AD64-SUM($G64:Z64),0)</f>
        <v>0.32639513402887133</v>
      </c>
      <c r="AZ64" s="154">
        <f>IF(AA$60&gt;=$F64,$AD64-SUM($G64:AA64),0)</f>
        <v>0.32639513402887133</v>
      </c>
    </row>
    <row r="65" spans="5:52" x14ac:dyDescent="0.3">
      <c r="E65" s="163">
        <v>500</v>
      </c>
      <c r="F65" s="157">
        <v>2120</v>
      </c>
      <c r="G65" s="152">
        <f t="shared" si="30"/>
        <v>0</v>
      </c>
      <c r="H65" s="153">
        <f t="shared" si="30"/>
        <v>0</v>
      </c>
      <c r="I65" s="153">
        <f t="shared" si="30"/>
        <v>0</v>
      </c>
      <c r="J65" s="153">
        <f t="shared" si="30"/>
        <v>0</v>
      </c>
      <c r="K65" s="153">
        <f t="shared" si="30"/>
        <v>0</v>
      </c>
      <c r="L65" s="153">
        <f t="shared" si="30"/>
        <v>0</v>
      </c>
      <c r="M65" s="153">
        <f t="shared" si="30"/>
        <v>0</v>
      </c>
      <c r="N65" s="153">
        <f t="shared" si="30"/>
        <v>0</v>
      </c>
      <c r="O65" s="153">
        <f t="shared" si="30"/>
        <v>0</v>
      </c>
      <c r="P65" s="153">
        <f t="shared" si="30"/>
        <v>0</v>
      </c>
      <c r="Q65" s="153">
        <f t="shared" si="31"/>
        <v>52.580341592815095</v>
      </c>
      <c r="R65" s="153">
        <f t="shared" si="31"/>
        <v>126.82946419220761</v>
      </c>
      <c r="S65" s="153">
        <f t="shared" si="31"/>
        <v>136.65047362925611</v>
      </c>
      <c r="T65" s="153">
        <f t="shared" si="31"/>
        <v>99.433062882688105</v>
      </c>
      <c r="U65" s="153">
        <f t="shared" si="31"/>
        <v>53.418395691974929</v>
      </c>
      <c r="V65" s="153">
        <f t="shared" si="31"/>
        <v>21.930442566691021</v>
      </c>
      <c r="W65" s="153">
        <f t="shared" si="31"/>
        <v>6.9976997073200593</v>
      </c>
      <c r="X65" s="153">
        <f t="shared" si="31"/>
        <v>1.7521258195109524</v>
      </c>
      <c r="Y65" s="153">
        <f t="shared" si="31"/>
        <v>0</v>
      </c>
      <c r="Z65" s="153">
        <f t="shared" si="31"/>
        <v>0</v>
      </c>
      <c r="AA65" s="154">
        <f t="shared" si="31"/>
        <v>0</v>
      </c>
      <c r="AD65" s="163">
        <v>500</v>
      </c>
      <c r="AE65" s="157">
        <v>2120</v>
      </c>
      <c r="AF65" s="152">
        <f>IF(G$60&gt;=$F65,$AD65-SUM($G65:G65),0)</f>
        <v>0</v>
      </c>
      <c r="AG65" s="153">
        <f>IF(H$60&gt;=$F65,$AD65-SUM($G65:H65),0)</f>
        <v>0</v>
      </c>
      <c r="AH65" s="153">
        <f>IF(I$60&gt;=$F65,$AD65-SUM($G65:I65),0)</f>
        <v>0</v>
      </c>
      <c r="AI65" s="153">
        <f>IF(J$60&gt;=$F65,$AD65-SUM($G65:J65),0)</f>
        <v>0</v>
      </c>
      <c r="AJ65" s="153">
        <f>IF(K$60&gt;=$F65,$AD65-SUM($G65:K65),0)</f>
        <v>500</v>
      </c>
      <c r="AK65" s="153">
        <f>IF(L$60&gt;=$F65,$AD65-SUM($G65:L65),0)</f>
        <v>500</v>
      </c>
      <c r="AL65" s="153">
        <f>IF(M$60&gt;=$F65,$AD65-SUM($G65:M65),0)</f>
        <v>500</v>
      </c>
      <c r="AM65" s="153">
        <f>IF(N$60&gt;=$F65,$AD65-SUM($G65:N65),0)</f>
        <v>500</v>
      </c>
      <c r="AN65" s="153">
        <f>IF(O$60&gt;=$F65,$AD65-SUM($G65:O65),0)</f>
        <v>500</v>
      </c>
      <c r="AO65" s="153">
        <f>IF(P$60&gt;=$F65,$AD65-SUM($G65:P65),0)</f>
        <v>500</v>
      </c>
      <c r="AP65" s="153">
        <f>IF(Q$60&gt;=$F65,$AD65-SUM($G65:Q65),0)</f>
        <v>447.4196584071849</v>
      </c>
      <c r="AQ65" s="153">
        <f>IF(R$60&gt;=$F65,$AD65-SUM($G65:R65),0)</f>
        <v>320.59019421497726</v>
      </c>
      <c r="AR65" s="153">
        <f>IF(S$60&gt;=$F65,$AD65-SUM($G65:S65),0)</f>
        <v>183.93972058572115</v>
      </c>
      <c r="AS65" s="153">
        <f>IF(T$60&gt;=$F65,$AD65-SUM($G65:T65),0)</f>
        <v>84.506657703033056</v>
      </c>
      <c r="AT65" s="153">
        <f>IF(U$60&gt;=$F65,$AD65-SUM($G65:U65),0)</f>
        <v>31.088262011058134</v>
      </c>
      <c r="AU65" s="153">
        <f>IF(V$60&gt;=$F65,$AD65-SUM($G65:V65),0)</f>
        <v>9.157819444367135</v>
      </c>
      <c r="AV65" s="153">
        <f>IF(W$60&gt;=$F65,$AD65-SUM($G65:W65),0)</f>
        <v>2.1601197370470686</v>
      </c>
      <c r="AW65" s="153">
        <f>IF(X$60&gt;=$F65,$AD65-SUM($G65:X65),0)</f>
        <v>0.40799391753608916</v>
      </c>
      <c r="AX65" s="153">
        <f>IF(Y$60&gt;=$F65,$AD65-SUM($G65:Y65),0)</f>
        <v>0.40799391753608916</v>
      </c>
      <c r="AY65" s="153">
        <f>IF(Z$60&gt;=$F65,$AD65-SUM($G65:Z65),0)</f>
        <v>0.40799391753608916</v>
      </c>
      <c r="AZ65" s="154">
        <f>IF(AA$60&gt;=$F65,$AD65-SUM($G65:AA65),0)</f>
        <v>0.40799391753608916</v>
      </c>
    </row>
    <row r="66" spans="5:52" x14ac:dyDescent="0.3">
      <c r="E66" s="163">
        <v>600</v>
      </c>
      <c r="F66" s="157">
        <v>2130</v>
      </c>
      <c r="G66" s="152">
        <f t="shared" si="30"/>
        <v>0</v>
      </c>
      <c r="H66" s="153">
        <f t="shared" si="30"/>
        <v>0</v>
      </c>
      <c r="I66" s="153">
        <f t="shared" si="30"/>
        <v>0</v>
      </c>
      <c r="J66" s="153">
        <f t="shared" si="30"/>
        <v>0</v>
      </c>
      <c r="K66" s="153">
        <f t="shared" si="30"/>
        <v>0</v>
      </c>
      <c r="L66" s="153">
        <f t="shared" si="30"/>
        <v>0</v>
      </c>
      <c r="M66" s="153">
        <f t="shared" si="30"/>
        <v>0</v>
      </c>
      <c r="N66" s="153">
        <f t="shared" si="30"/>
        <v>0</v>
      </c>
      <c r="O66" s="153">
        <f t="shared" si="30"/>
        <v>0</v>
      </c>
      <c r="P66" s="153">
        <f t="shared" si="30"/>
        <v>0</v>
      </c>
      <c r="Q66" s="153">
        <f t="shared" si="31"/>
        <v>0</v>
      </c>
      <c r="R66" s="153">
        <f t="shared" si="31"/>
        <v>63.096409911378117</v>
      </c>
      <c r="S66" s="153">
        <f t="shared" si="31"/>
        <v>152.19535703064915</v>
      </c>
      <c r="T66" s="153">
        <f t="shared" si="31"/>
        <v>163.98056835510732</v>
      </c>
      <c r="U66" s="153">
        <f t="shared" si="31"/>
        <v>119.31967545922572</v>
      </c>
      <c r="V66" s="153">
        <f t="shared" si="31"/>
        <v>64.102074830369915</v>
      </c>
      <c r="W66" s="153">
        <f t="shared" si="31"/>
        <v>26.316531080029225</v>
      </c>
      <c r="X66" s="153">
        <f t="shared" si="31"/>
        <v>8.3972396487840726</v>
      </c>
      <c r="Y66" s="153">
        <f t="shared" si="31"/>
        <v>2.1025509834131428</v>
      </c>
      <c r="Z66" s="153">
        <f t="shared" si="31"/>
        <v>0</v>
      </c>
      <c r="AA66" s="154">
        <f t="shared" si="31"/>
        <v>0</v>
      </c>
      <c r="AD66" s="163">
        <v>600</v>
      </c>
      <c r="AE66" s="157">
        <v>2130</v>
      </c>
      <c r="AF66" s="152">
        <f>IF(G$60&gt;=$F66,$AD66-SUM($G66:G66),0)</f>
        <v>0</v>
      </c>
      <c r="AG66" s="153">
        <f>IF(H$60&gt;=$F66,$AD66-SUM($G66:H66),0)</f>
        <v>0</v>
      </c>
      <c r="AH66" s="153">
        <f>IF(I$60&gt;=$F66,$AD66-SUM($G66:I66),0)</f>
        <v>0</v>
      </c>
      <c r="AI66" s="153">
        <f>IF(J$60&gt;=$F66,$AD66-SUM($G66:J66),0)</f>
        <v>0</v>
      </c>
      <c r="AJ66" s="153">
        <f>IF(K$60&gt;=$F66,$AD66-SUM($G66:K66),0)</f>
        <v>0</v>
      </c>
      <c r="AK66" s="153">
        <f>IF(L$60&gt;=$F66,$AD66-SUM($G66:L66),0)</f>
        <v>600</v>
      </c>
      <c r="AL66" s="153">
        <f>IF(M$60&gt;=$F66,$AD66-SUM($G66:M66),0)</f>
        <v>600</v>
      </c>
      <c r="AM66" s="153">
        <f>IF(N$60&gt;=$F66,$AD66-SUM($G66:N66),0)</f>
        <v>600</v>
      </c>
      <c r="AN66" s="153">
        <f>IF(O$60&gt;=$F66,$AD66-SUM($G66:O66),0)</f>
        <v>600</v>
      </c>
      <c r="AO66" s="153">
        <f>IF(P$60&gt;=$F66,$AD66-SUM($G66:P66),0)</f>
        <v>600</v>
      </c>
      <c r="AP66" s="153">
        <f>IF(Q$60&gt;=$F66,$AD66-SUM($G66:Q66),0)</f>
        <v>600</v>
      </c>
      <c r="AQ66" s="153">
        <f>IF(R$60&gt;=$F66,$AD66-SUM($G66:R66),0)</f>
        <v>536.90359008862185</v>
      </c>
      <c r="AR66" s="153">
        <f>IF(S$60&gt;=$F66,$AD66-SUM($G66:S66),0)</f>
        <v>384.70823305797273</v>
      </c>
      <c r="AS66" s="153">
        <f>IF(T$60&gt;=$F66,$AD66-SUM($G66:T66),0)</f>
        <v>220.72766470286541</v>
      </c>
      <c r="AT66" s="153">
        <f>IF(U$60&gt;=$F66,$AD66-SUM($G66:U66),0)</f>
        <v>101.40798924363969</v>
      </c>
      <c r="AU66" s="153">
        <f>IF(V$60&gt;=$F66,$AD66-SUM($G66:V66),0)</f>
        <v>37.305914413269761</v>
      </c>
      <c r="AV66" s="153">
        <f>IF(W$60&gt;=$F66,$AD66-SUM($G66:W66),0)</f>
        <v>10.989383333240539</v>
      </c>
      <c r="AW66" s="153">
        <f>IF(X$60&gt;=$F66,$AD66-SUM($G66:X66),0)</f>
        <v>2.5921436844564596</v>
      </c>
      <c r="AX66" s="153">
        <f>IF(Y$60&gt;=$F66,$AD66-SUM($G66:Y66),0)</f>
        <v>0.48959270104330699</v>
      </c>
      <c r="AY66" s="153">
        <f>IF(Z$60&gt;=$F66,$AD66-SUM($G66:Z66),0)</f>
        <v>0.48959270104330699</v>
      </c>
      <c r="AZ66" s="154">
        <f>IF(AA$60&gt;=$F66,$AD66-SUM($G66:AA66),0)</f>
        <v>0.48959270104330699</v>
      </c>
    </row>
    <row r="67" spans="5:52" x14ac:dyDescent="0.3">
      <c r="E67" s="163">
        <v>700</v>
      </c>
      <c r="F67" s="157">
        <v>2140</v>
      </c>
      <c r="G67" s="152">
        <f t="shared" si="30"/>
        <v>0</v>
      </c>
      <c r="H67" s="153">
        <f t="shared" si="30"/>
        <v>0</v>
      </c>
      <c r="I67" s="153">
        <f t="shared" si="30"/>
        <v>0</v>
      </c>
      <c r="J67" s="153">
        <f t="shared" si="30"/>
        <v>0</v>
      </c>
      <c r="K67" s="153">
        <f t="shared" si="30"/>
        <v>0</v>
      </c>
      <c r="L67" s="153">
        <f t="shared" si="30"/>
        <v>0</v>
      </c>
      <c r="M67" s="153">
        <f t="shared" si="30"/>
        <v>0</v>
      </c>
      <c r="N67" s="153">
        <f t="shared" si="30"/>
        <v>0</v>
      </c>
      <c r="O67" s="153">
        <f t="shared" si="30"/>
        <v>0</v>
      </c>
      <c r="P67" s="153">
        <f t="shared" si="30"/>
        <v>0</v>
      </c>
      <c r="Q67" s="153">
        <f t="shared" si="31"/>
        <v>0</v>
      </c>
      <c r="R67" s="153">
        <f t="shared" si="31"/>
        <v>0</v>
      </c>
      <c r="S67" s="153">
        <f t="shared" si="31"/>
        <v>73.612478229941132</v>
      </c>
      <c r="T67" s="153">
        <f t="shared" si="31"/>
        <v>177.56124986909066</v>
      </c>
      <c r="U67" s="153">
        <f t="shared" si="31"/>
        <v>191.31066308095856</v>
      </c>
      <c r="V67" s="153">
        <f t="shared" si="31"/>
        <v>139.20628803576335</v>
      </c>
      <c r="W67" s="153">
        <f t="shared" si="31"/>
        <v>74.785753968764908</v>
      </c>
      <c r="X67" s="153">
        <f t="shared" si="31"/>
        <v>30.70261959336743</v>
      </c>
      <c r="Y67" s="153">
        <f t="shared" si="31"/>
        <v>9.7967795902480841</v>
      </c>
      <c r="Z67" s="153">
        <f t="shared" si="31"/>
        <v>2.4529761473153333</v>
      </c>
      <c r="AA67" s="154">
        <f t="shared" si="31"/>
        <v>0</v>
      </c>
      <c r="AD67" s="163">
        <v>700</v>
      </c>
      <c r="AE67" s="157">
        <v>2140</v>
      </c>
      <c r="AF67" s="152">
        <f>IF(G$60&gt;=$F67,$AD67-SUM($G67:G67),0)</f>
        <v>0</v>
      </c>
      <c r="AG67" s="153">
        <f>IF(H$60&gt;=$F67,$AD67-SUM($G67:H67),0)</f>
        <v>0</v>
      </c>
      <c r="AH67" s="153">
        <f>IF(I$60&gt;=$F67,$AD67-SUM($G67:I67),0)</f>
        <v>0</v>
      </c>
      <c r="AI67" s="153">
        <f>IF(J$60&gt;=$F67,$AD67-SUM($G67:J67),0)</f>
        <v>0</v>
      </c>
      <c r="AJ67" s="153">
        <f>IF(K$60&gt;=$F67,$AD67-SUM($G67:K67),0)</f>
        <v>0</v>
      </c>
      <c r="AK67" s="153">
        <f>IF(L$60&gt;=$F67,$AD67-SUM($G67:L67),0)</f>
        <v>0</v>
      </c>
      <c r="AL67" s="153">
        <f>IF(M$60&gt;=$F67,$AD67-SUM($G67:M67),0)</f>
        <v>700</v>
      </c>
      <c r="AM67" s="153">
        <f>IF(N$60&gt;=$F67,$AD67-SUM($G67:N67),0)</f>
        <v>700</v>
      </c>
      <c r="AN67" s="153">
        <f>IF(O$60&gt;=$F67,$AD67-SUM($G67:O67),0)</f>
        <v>700</v>
      </c>
      <c r="AO67" s="153">
        <f>IF(P$60&gt;=$F67,$AD67-SUM($G67:P67),0)</f>
        <v>700</v>
      </c>
      <c r="AP67" s="153">
        <f>IF(Q$60&gt;=$F67,$AD67-SUM($G67:Q67),0)</f>
        <v>700</v>
      </c>
      <c r="AQ67" s="153">
        <f>IF(R$60&gt;=$F67,$AD67-SUM($G67:R67),0)</f>
        <v>700</v>
      </c>
      <c r="AR67" s="153">
        <f>IF(S$60&gt;=$F67,$AD67-SUM($G67:S67),0)</f>
        <v>626.38752177005881</v>
      </c>
      <c r="AS67" s="153">
        <f>IF(T$60&gt;=$F67,$AD67-SUM($G67:T67),0)</f>
        <v>448.82627190096821</v>
      </c>
      <c r="AT67" s="153">
        <f>IF(U$60&gt;=$F67,$AD67-SUM($G67:U67),0)</f>
        <v>257.51560882000967</v>
      </c>
      <c r="AU67" s="153">
        <f>IF(V$60&gt;=$F67,$AD67-SUM($G67:V67),0)</f>
        <v>118.30932078424632</v>
      </c>
      <c r="AV67" s="153">
        <f>IF(W$60&gt;=$F67,$AD67-SUM($G67:W67),0)</f>
        <v>43.523566815481445</v>
      </c>
      <c r="AW67" s="153">
        <f>IF(X$60&gt;=$F67,$AD67-SUM($G67:X67),0)</f>
        <v>12.820947222114</v>
      </c>
      <c r="AX67" s="153">
        <f>IF(Y$60&gt;=$F67,$AD67-SUM($G67:Y67),0)</f>
        <v>3.0241676318659074</v>
      </c>
      <c r="AY67" s="153">
        <f>IF(Z$60&gt;=$F67,$AD67-SUM($G67:Z67),0)</f>
        <v>0.57119148455058166</v>
      </c>
      <c r="AZ67" s="154">
        <f>IF(AA$60&gt;=$F67,$AD67-SUM($G67:AA67),0)</f>
        <v>0.57119148455058166</v>
      </c>
    </row>
    <row r="68" spans="5:52" x14ac:dyDescent="0.3">
      <c r="E68" s="163">
        <v>800</v>
      </c>
      <c r="F68" s="157">
        <v>2150</v>
      </c>
      <c r="G68" s="152">
        <f t="shared" si="30"/>
        <v>0</v>
      </c>
      <c r="H68" s="153">
        <f t="shared" si="30"/>
        <v>0</v>
      </c>
      <c r="I68" s="153">
        <f t="shared" si="30"/>
        <v>0</v>
      </c>
      <c r="J68" s="153">
        <f t="shared" si="30"/>
        <v>0</v>
      </c>
      <c r="K68" s="153">
        <f t="shared" si="30"/>
        <v>0</v>
      </c>
      <c r="L68" s="153">
        <f t="shared" si="30"/>
        <v>0</v>
      </c>
      <c r="M68" s="153">
        <f t="shared" si="30"/>
        <v>0</v>
      </c>
      <c r="N68" s="153">
        <f t="shared" si="30"/>
        <v>0</v>
      </c>
      <c r="O68" s="153">
        <f t="shared" si="30"/>
        <v>0</v>
      </c>
      <c r="P68" s="153">
        <f t="shared" si="30"/>
        <v>0</v>
      </c>
      <c r="Q68" s="153">
        <f t="shared" si="31"/>
        <v>0</v>
      </c>
      <c r="R68" s="153">
        <f t="shared" si="31"/>
        <v>0</v>
      </c>
      <c r="S68" s="153">
        <f t="shared" si="31"/>
        <v>0</v>
      </c>
      <c r="T68" s="153">
        <f t="shared" si="31"/>
        <v>84.128546548504161</v>
      </c>
      <c r="U68" s="153">
        <f t="shared" si="31"/>
        <v>202.92714270753217</v>
      </c>
      <c r="V68" s="153">
        <f t="shared" si="31"/>
        <v>218.64075780680977</v>
      </c>
      <c r="W68" s="153">
        <f t="shared" si="31"/>
        <v>159.09290061230098</v>
      </c>
      <c r="X68" s="153">
        <f t="shared" si="31"/>
        <v>85.469433107159887</v>
      </c>
      <c r="Y68" s="153">
        <f t="shared" si="31"/>
        <v>35.088708106705639</v>
      </c>
      <c r="Z68" s="153">
        <f t="shared" si="31"/>
        <v>11.196319531712096</v>
      </c>
      <c r="AA68" s="154">
        <f t="shared" si="31"/>
        <v>2.8034013112175238</v>
      </c>
      <c r="AD68" s="163">
        <v>800</v>
      </c>
      <c r="AE68" s="157">
        <v>2150</v>
      </c>
      <c r="AF68" s="152">
        <f>IF(G$60&gt;=$F68,$AD68-SUM($G68:G68),0)</f>
        <v>0</v>
      </c>
      <c r="AG68" s="153">
        <f>IF(H$60&gt;=$F68,$AD68-SUM($G68:H68),0)</f>
        <v>0</v>
      </c>
      <c r="AH68" s="153">
        <f>IF(I$60&gt;=$F68,$AD68-SUM($G68:I68),0)</f>
        <v>0</v>
      </c>
      <c r="AI68" s="153">
        <f>IF(J$60&gt;=$F68,$AD68-SUM($G68:J68),0)</f>
        <v>0</v>
      </c>
      <c r="AJ68" s="153">
        <f>IF(K$60&gt;=$F68,$AD68-SUM($G68:K68),0)</f>
        <v>0</v>
      </c>
      <c r="AK68" s="153">
        <f>IF(L$60&gt;=$F68,$AD68-SUM($G68:L68),0)</f>
        <v>0</v>
      </c>
      <c r="AL68" s="153">
        <f>IF(M$60&gt;=$F68,$AD68-SUM($G68:M68),0)</f>
        <v>0</v>
      </c>
      <c r="AM68" s="153">
        <f>IF(N$60&gt;=$F68,$AD68-SUM($G68:N68),0)</f>
        <v>800</v>
      </c>
      <c r="AN68" s="153">
        <f>IF(O$60&gt;=$F68,$AD68-SUM($G68:O68),0)</f>
        <v>800</v>
      </c>
      <c r="AO68" s="153">
        <f>IF(P$60&gt;=$F68,$AD68-SUM($G68:P68),0)</f>
        <v>800</v>
      </c>
      <c r="AP68" s="153">
        <f>IF(Q$60&gt;=$F68,$AD68-SUM($G68:Q68),0)</f>
        <v>800</v>
      </c>
      <c r="AQ68" s="153">
        <f>IF(R$60&gt;=$F68,$AD68-SUM($G68:R68),0)</f>
        <v>800</v>
      </c>
      <c r="AR68" s="153">
        <f>IF(S$60&gt;=$F68,$AD68-SUM($G68:S68),0)</f>
        <v>800</v>
      </c>
      <c r="AS68" s="153">
        <f>IF(T$60&gt;=$F68,$AD68-SUM($G68:T68),0)</f>
        <v>715.87145345149588</v>
      </c>
      <c r="AT68" s="153">
        <f>IF(U$60&gt;=$F68,$AD68-SUM($G68:U68),0)</f>
        <v>512.94431074396368</v>
      </c>
      <c r="AU68" s="153">
        <f>IF(V$60&gt;=$F68,$AD68-SUM($G68:V68),0)</f>
        <v>294.30355293715388</v>
      </c>
      <c r="AV68" s="153">
        <f>IF(W$60&gt;=$F68,$AD68-SUM($G68:W68),0)</f>
        <v>135.21065232485284</v>
      </c>
      <c r="AW68" s="153">
        <f>IF(X$60&gt;=$F68,$AD68-SUM($G68:X68),0)</f>
        <v>49.741219217693015</v>
      </c>
      <c r="AX68" s="153">
        <f>IF(Y$60&gt;=$F68,$AD68-SUM($G68:Y68),0)</f>
        <v>14.652511110987348</v>
      </c>
      <c r="AY68" s="153">
        <f>IF(Z$60&gt;=$F68,$AD68-SUM($G68:Z68),0)</f>
        <v>3.4561915792752416</v>
      </c>
      <c r="AZ68" s="154">
        <f>IF(AA$60&gt;=$F68,$AD68-SUM($G68:AA68),0)</f>
        <v>0.65279026805774265</v>
      </c>
    </row>
    <row r="69" spans="5:52" x14ac:dyDescent="0.3">
      <c r="E69" s="163">
        <v>900</v>
      </c>
      <c r="F69" s="157">
        <v>2160</v>
      </c>
      <c r="G69" s="152">
        <f t="shared" si="30"/>
        <v>0</v>
      </c>
      <c r="H69" s="153">
        <f t="shared" si="30"/>
        <v>0</v>
      </c>
      <c r="I69" s="153">
        <f t="shared" si="30"/>
        <v>0</v>
      </c>
      <c r="J69" s="153">
        <f t="shared" si="30"/>
        <v>0</v>
      </c>
      <c r="K69" s="153">
        <f t="shared" si="30"/>
        <v>0</v>
      </c>
      <c r="L69" s="153">
        <f t="shared" si="30"/>
        <v>0</v>
      </c>
      <c r="M69" s="153">
        <f t="shared" si="30"/>
        <v>0</v>
      </c>
      <c r="N69" s="153">
        <f t="shared" si="30"/>
        <v>0</v>
      </c>
      <c r="O69" s="153">
        <f t="shared" si="30"/>
        <v>0</v>
      </c>
      <c r="P69" s="153">
        <f t="shared" si="30"/>
        <v>0</v>
      </c>
      <c r="Q69" s="153">
        <f t="shared" si="31"/>
        <v>0</v>
      </c>
      <c r="R69" s="153">
        <f t="shared" si="31"/>
        <v>0</v>
      </c>
      <c r="S69" s="153">
        <f t="shared" si="31"/>
        <v>0</v>
      </c>
      <c r="T69" s="153">
        <f t="shared" si="31"/>
        <v>0</v>
      </c>
      <c r="U69" s="153">
        <f t="shared" si="31"/>
        <v>94.644614867067176</v>
      </c>
      <c r="V69" s="153">
        <f t="shared" si="31"/>
        <v>228.29303554597371</v>
      </c>
      <c r="W69" s="153">
        <f t="shared" si="31"/>
        <v>245.97085253266101</v>
      </c>
      <c r="X69" s="153">
        <f t="shared" si="31"/>
        <v>178.97951318883858</v>
      </c>
      <c r="Y69" s="153">
        <f t="shared" si="31"/>
        <v>96.153112245554865</v>
      </c>
      <c r="Z69" s="153">
        <f t="shared" si="31"/>
        <v>39.47479662004384</v>
      </c>
      <c r="AA69" s="154">
        <f t="shared" si="31"/>
        <v>12.595859473176107</v>
      </c>
      <c r="AD69" s="163">
        <v>900</v>
      </c>
      <c r="AE69" s="157">
        <v>2160</v>
      </c>
      <c r="AF69" s="152">
        <f>IF(G$60&gt;=$F69,$AD69-SUM($G69:G69),0)</f>
        <v>0</v>
      </c>
      <c r="AG69" s="153">
        <f>IF(H$60&gt;=$F69,$AD69-SUM($G69:H69),0)</f>
        <v>0</v>
      </c>
      <c r="AH69" s="153">
        <f>IF(I$60&gt;=$F69,$AD69-SUM($G69:I69),0)</f>
        <v>0</v>
      </c>
      <c r="AI69" s="153">
        <f>IF(J$60&gt;=$F69,$AD69-SUM($G69:J69),0)</f>
        <v>0</v>
      </c>
      <c r="AJ69" s="153">
        <f>IF(K$60&gt;=$F69,$AD69-SUM($G69:K69),0)</f>
        <v>0</v>
      </c>
      <c r="AK69" s="153">
        <f>IF(L$60&gt;=$F69,$AD69-SUM($G69:L69),0)</f>
        <v>0</v>
      </c>
      <c r="AL69" s="153">
        <f>IF(M$60&gt;=$F69,$AD69-SUM($G69:M69),0)</f>
        <v>0</v>
      </c>
      <c r="AM69" s="153">
        <f>IF(N$60&gt;=$F69,$AD69-SUM($G69:N69),0)</f>
        <v>0</v>
      </c>
      <c r="AN69" s="153">
        <f>IF(O$60&gt;=$F69,$AD69-SUM($G69:O69),0)</f>
        <v>900</v>
      </c>
      <c r="AO69" s="153">
        <f>IF(P$60&gt;=$F69,$AD69-SUM($G69:P69),0)</f>
        <v>900</v>
      </c>
      <c r="AP69" s="153">
        <f>IF(Q$60&gt;=$F69,$AD69-SUM($G69:Q69),0)</f>
        <v>900</v>
      </c>
      <c r="AQ69" s="153">
        <f>IF(R$60&gt;=$F69,$AD69-SUM($G69:R69),0)</f>
        <v>900</v>
      </c>
      <c r="AR69" s="153">
        <f>IF(S$60&gt;=$F69,$AD69-SUM($G69:S69),0)</f>
        <v>900</v>
      </c>
      <c r="AS69" s="153">
        <f>IF(T$60&gt;=$F69,$AD69-SUM($G69:T69),0)</f>
        <v>900</v>
      </c>
      <c r="AT69" s="153">
        <f>IF(U$60&gt;=$F69,$AD69-SUM($G69:U69),0)</f>
        <v>805.35538513293284</v>
      </c>
      <c r="AU69" s="153">
        <f>IF(V$60&gt;=$F69,$AD69-SUM($G69:V69),0)</f>
        <v>577.06234958695904</v>
      </c>
      <c r="AV69" s="153">
        <f>IF(W$60&gt;=$F69,$AD69-SUM($G69:W69),0)</f>
        <v>331.09149705429809</v>
      </c>
      <c r="AW69" s="153">
        <f>IF(X$60&gt;=$F69,$AD69-SUM($G69:X69),0)</f>
        <v>152.11198386545948</v>
      </c>
      <c r="AX69" s="153">
        <f>IF(Y$60&gt;=$F69,$AD69-SUM($G69:Y69),0)</f>
        <v>55.958871619904585</v>
      </c>
      <c r="AY69" s="153">
        <f>IF(Z$60&gt;=$F69,$AD69-SUM($G69:Z69),0)</f>
        <v>16.484074999860695</v>
      </c>
      <c r="AZ69" s="154">
        <f>IF(AA$60&gt;=$F69,$AD69-SUM($G69:AA69),0)</f>
        <v>3.8882155266845757</v>
      </c>
    </row>
    <row r="70" spans="5:52" x14ac:dyDescent="0.3">
      <c r="E70" s="163">
        <v>1000</v>
      </c>
      <c r="F70" s="157">
        <v>2170</v>
      </c>
      <c r="G70" s="152">
        <f t="shared" si="30"/>
        <v>0</v>
      </c>
      <c r="H70" s="153">
        <f t="shared" si="30"/>
        <v>0</v>
      </c>
      <c r="I70" s="153">
        <f t="shared" si="30"/>
        <v>0</v>
      </c>
      <c r="J70" s="153">
        <f t="shared" si="30"/>
        <v>0</v>
      </c>
      <c r="K70" s="153">
        <f t="shared" si="30"/>
        <v>0</v>
      </c>
      <c r="L70" s="153">
        <f t="shared" si="30"/>
        <v>0</v>
      </c>
      <c r="M70" s="153">
        <f t="shared" si="30"/>
        <v>0</v>
      </c>
      <c r="N70" s="153">
        <f t="shared" si="30"/>
        <v>0</v>
      </c>
      <c r="O70" s="153">
        <f t="shared" si="30"/>
        <v>0</v>
      </c>
      <c r="P70" s="153">
        <f t="shared" si="30"/>
        <v>0</v>
      </c>
      <c r="Q70" s="153">
        <f t="shared" si="31"/>
        <v>0</v>
      </c>
      <c r="R70" s="153">
        <f t="shared" si="31"/>
        <v>0</v>
      </c>
      <c r="S70" s="153">
        <f t="shared" si="31"/>
        <v>0</v>
      </c>
      <c r="T70" s="153">
        <f t="shared" si="31"/>
        <v>0</v>
      </c>
      <c r="U70" s="153">
        <f t="shared" si="31"/>
        <v>0</v>
      </c>
      <c r="V70" s="153">
        <f t="shared" si="31"/>
        <v>105.16068318563019</v>
      </c>
      <c r="W70" s="153">
        <f t="shared" si="31"/>
        <v>253.65892838441522</v>
      </c>
      <c r="X70" s="153">
        <f t="shared" si="31"/>
        <v>273.30094725851222</v>
      </c>
      <c r="Y70" s="153">
        <f t="shared" si="31"/>
        <v>198.86612576537621</v>
      </c>
      <c r="Z70" s="153">
        <f t="shared" si="31"/>
        <v>106.83679138394986</v>
      </c>
      <c r="AA70" s="154">
        <f t="shared" si="31"/>
        <v>43.860885133382041</v>
      </c>
      <c r="AD70" s="163">
        <v>1000</v>
      </c>
      <c r="AE70" s="157">
        <v>2170</v>
      </c>
      <c r="AF70" s="152">
        <f>IF(G$60&gt;=$F70,$AD70-SUM($G70:G70),0)</f>
        <v>0</v>
      </c>
      <c r="AG70" s="153">
        <f>IF(H$60&gt;=$F70,$AD70-SUM($G70:H70),0)</f>
        <v>0</v>
      </c>
      <c r="AH70" s="153">
        <f>IF(I$60&gt;=$F70,$AD70-SUM($G70:I70),0)</f>
        <v>0</v>
      </c>
      <c r="AI70" s="153">
        <f>IF(J$60&gt;=$F70,$AD70-SUM($G70:J70),0)</f>
        <v>0</v>
      </c>
      <c r="AJ70" s="153">
        <f>IF(K$60&gt;=$F70,$AD70-SUM($G70:K70),0)</f>
        <v>0</v>
      </c>
      <c r="AK70" s="153">
        <f>IF(L$60&gt;=$F70,$AD70-SUM($G70:L70),0)</f>
        <v>0</v>
      </c>
      <c r="AL70" s="153">
        <f>IF(M$60&gt;=$F70,$AD70-SUM($G70:M70),0)</f>
        <v>0</v>
      </c>
      <c r="AM70" s="153">
        <f>IF(N$60&gt;=$F70,$AD70-SUM($G70:N70),0)</f>
        <v>0</v>
      </c>
      <c r="AN70" s="153">
        <f>IF(O$60&gt;=$F70,$AD70-SUM($G70:O70),0)</f>
        <v>0</v>
      </c>
      <c r="AO70" s="153">
        <f>IF(P$60&gt;=$F70,$AD70-SUM($G70:P70),0)</f>
        <v>1000</v>
      </c>
      <c r="AP70" s="153">
        <f>IF(Q$60&gt;=$F70,$AD70-SUM($G70:Q70),0)</f>
        <v>1000</v>
      </c>
      <c r="AQ70" s="153">
        <f>IF(R$60&gt;=$F70,$AD70-SUM($G70:R70),0)</f>
        <v>1000</v>
      </c>
      <c r="AR70" s="153">
        <f>IF(S$60&gt;=$F70,$AD70-SUM($G70:S70),0)</f>
        <v>1000</v>
      </c>
      <c r="AS70" s="153">
        <f>IF(T$60&gt;=$F70,$AD70-SUM($G70:T70),0)</f>
        <v>1000</v>
      </c>
      <c r="AT70" s="153">
        <f>IF(U$60&gt;=$F70,$AD70-SUM($G70:U70),0)</f>
        <v>1000</v>
      </c>
      <c r="AU70" s="153">
        <f>IF(V$60&gt;=$F70,$AD70-SUM($G70:V70),0)</f>
        <v>894.83931681436979</v>
      </c>
      <c r="AV70" s="153">
        <f>IF(W$60&gt;=$F70,$AD70-SUM($G70:W70),0)</f>
        <v>641.18038842995452</v>
      </c>
      <c r="AW70" s="153">
        <f>IF(X$60&gt;=$F70,$AD70-SUM($G70:X70),0)</f>
        <v>367.87944117144229</v>
      </c>
      <c r="AX70" s="153">
        <f>IF(Y$60&gt;=$F70,$AD70-SUM($G70:Y70),0)</f>
        <v>169.01331540606611</v>
      </c>
      <c r="AY70" s="153">
        <f>IF(Z$60&gt;=$F70,$AD70-SUM($G70:Z70),0)</f>
        <v>62.176524022116268</v>
      </c>
      <c r="AZ70" s="154">
        <f>IF(AA$60&gt;=$F70,$AD70-SUM($G70:AA70),0)</f>
        <v>18.31563888873427</v>
      </c>
    </row>
    <row r="71" spans="5:52" x14ac:dyDescent="0.3">
      <c r="E71" s="163">
        <v>1100</v>
      </c>
      <c r="F71" s="157">
        <v>2180</v>
      </c>
      <c r="G71" s="152">
        <f t="shared" ref="G71:P81" si="32">IF(G$60&gt;=$F71,$E71*INDEX($F$13:$Z$13,MATCH(G$60-$F71,$F$12:$Z$12,0)),0)</f>
        <v>0</v>
      </c>
      <c r="H71" s="153">
        <f t="shared" si="32"/>
        <v>0</v>
      </c>
      <c r="I71" s="153">
        <f t="shared" si="32"/>
        <v>0</v>
      </c>
      <c r="J71" s="153">
        <f t="shared" si="32"/>
        <v>0</v>
      </c>
      <c r="K71" s="153">
        <f t="shared" si="32"/>
        <v>0</v>
      </c>
      <c r="L71" s="153">
        <f t="shared" si="32"/>
        <v>0</v>
      </c>
      <c r="M71" s="153">
        <f t="shared" si="32"/>
        <v>0</v>
      </c>
      <c r="N71" s="153">
        <f t="shared" si="32"/>
        <v>0</v>
      </c>
      <c r="O71" s="153">
        <f t="shared" si="32"/>
        <v>0</v>
      </c>
      <c r="P71" s="153">
        <f t="shared" si="32"/>
        <v>0</v>
      </c>
      <c r="Q71" s="153">
        <f t="shared" ref="Q71:AA81" si="33">IF(Q$60&gt;=$F71,$E71*INDEX($F$13:$Z$13,MATCH(Q$60-$F71,$F$12:$Z$12,0)),0)</f>
        <v>0</v>
      </c>
      <c r="R71" s="153">
        <f t="shared" si="33"/>
        <v>0</v>
      </c>
      <c r="S71" s="153">
        <f t="shared" si="33"/>
        <v>0</v>
      </c>
      <c r="T71" s="153">
        <f t="shared" si="33"/>
        <v>0</v>
      </c>
      <c r="U71" s="153">
        <f t="shared" si="33"/>
        <v>0</v>
      </c>
      <c r="V71" s="153">
        <f t="shared" si="33"/>
        <v>0</v>
      </c>
      <c r="W71" s="153">
        <f t="shared" si="33"/>
        <v>115.67675150419322</v>
      </c>
      <c r="X71" s="153">
        <f t="shared" si="33"/>
        <v>279.02482122285676</v>
      </c>
      <c r="Y71" s="153">
        <f t="shared" si="33"/>
        <v>300.63104198436343</v>
      </c>
      <c r="Z71" s="153">
        <f t="shared" si="33"/>
        <v>218.75273834191384</v>
      </c>
      <c r="AA71" s="154">
        <f t="shared" si="33"/>
        <v>117.52047052234485</v>
      </c>
      <c r="AD71" s="163">
        <v>1100</v>
      </c>
      <c r="AE71" s="157">
        <v>2180</v>
      </c>
      <c r="AF71" s="152">
        <f>IF(G$60&gt;=$F71,$AD71-SUM($G71:G71),0)</f>
        <v>0</v>
      </c>
      <c r="AG71" s="153">
        <f>IF(H$60&gt;=$F71,$AD71-SUM($G71:H71),0)</f>
        <v>0</v>
      </c>
      <c r="AH71" s="153">
        <f>IF(I$60&gt;=$F71,$AD71-SUM($G71:I71),0)</f>
        <v>0</v>
      </c>
      <c r="AI71" s="153">
        <f>IF(J$60&gt;=$F71,$AD71-SUM($G71:J71),0)</f>
        <v>0</v>
      </c>
      <c r="AJ71" s="153">
        <f>IF(K$60&gt;=$F71,$AD71-SUM($G71:K71),0)</f>
        <v>0</v>
      </c>
      <c r="AK71" s="153">
        <f>IF(L$60&gt;=$F71,$AD71-SUM($G71:L71),0)</f>
        <v>0</v>
      </c>
      <c r="AL71" s="153">
        <f>IF(M$60&gt;=$F71,$AD71-SUM($G71:M71),0)</f>
        <v>0</v>
      </c>
      <c r="AM71" s="153">
        <f>IF(N$60&gt;=$F71,$AD71-SUM($G71:N71),0)</f>
        <v>0</v>
      </c>
      <c r="AN71" s="153">
        <f>IF(O$60&gt;=$F71,$AD71-SUM($G71:O71),0)</f>
        <v>0</v>
      </c>
      <c r="AO71" s="153">
        <f>IF(P$60&gt;=$F71,$AD71-SUM($G71:P71),0)</f>
        <v>0</v>
      </c>
      <c r="AP71" s="153">
        <f>IF(Q$60&gt;=$F71,$AD71-SUM($G71:Q71),0)</f>
        <v>1100</v>
      </c>
      <c r="AQ71" s="153">
        <f>IF(R$60&gt;=$F71,$AD71-SUM($G71:R71),0)</f>
        <v>1100</v>
      </c>
      <c r="AR71" s="153">
        <f>IF(S$60&gt;=$F71,$AD71-SUM($G71:S71),0)</f>
        <v>1100</v>
      </c>
      <c r="AS71" s="153">
        <f>IF(T$60&gt;=$F71,$AD71-SUM($G71:T71),0)</f>
        <v>1100</v>
      </c>
      <c r="AT71" s="153">
        <f>IF(U$60&gt;=$F71,$AD71-SUM($G71:U71),0)</f>
        <v>1100</v>
      </c>
      <c r="AU71" s="153">
        <f>IF(V$60&gt;=$F71,$AD71-SUM($G71:V71),0)</f>
        <v>1100</v>
      </c>
      <c r="AV71" s="153">
        <f>IF(W$60&gt;=$F71,$AD71-SUM($G71:W71),0)</f>
        <v>984.32324849580675</v>
      </c>
      <c r="AW71" s="153">
        <f>IF(X$60&gt;=$F71,$AD71-SUM($G71:X71),0)</f>
        <v>705.29842727294999</v>
      </c>
      <c r="AX71" s="153">
        <f>IF(Y$60&gt;=$F71,$AD71-SUM($G71:Y71),0)</f>
        <v>404.6673852885865</v>
      </c>
      <c r="AY71" s="153">
        <f>IF(Z$60&gt;=$F71,$AD71-SUM($G71:Z71),0)</f>
        <v>185.91464694667263</v>
      </c>
      <c r="AZ71" s="154">
        <f>IF(AA$60&gt;=$F71,$AD71-SUM($G71:AA71),0)</f>
        <v>68.394176424327725</v>
      </c>
    </row>
    <row r="72" spans="5:52" x14ac:dyDescent="0.3">
      <c r="E72" s="163">
        <v>1200</v>
      </c>
      <c r="F72" s="157">
        <v>2190</v>
      </c>
      <c r="G72" s="152">
        <f t="shared" si="32"/>
        <v>0</v>
      </c>
      <c r="H72" s="153">
        <f t="shared" si="32"/>
        <v>0</v>
      </c>
      <c r="I72" s="153">
        <f t="shared" si="32"/>
        <v>0</v>
      </c>
      <c r="J72" s="153">
        <f t="shared" si="32"/>
        <v>0</v>
      </c>
      <c r="K72" s="153">
        <f t="shared" si="32"/>
        <v>0</v>
      </c>
      <c r="L72" s="153">
        <f t="shared" si="32"/>
        <v>0</v>
      </c>
      <c r="M72" s="153">
        <f t="shared" si="32"/>
        <v>0</v>
      </c>
      <c r="N72" s="153">
        <f t="shared" si="32"/>
        <v>0</v>
      </c>
      <c r="O72" s="153">
        <f t="shared" si="32"/>
        <v>0</v>
      </c>
      <c r="P72" s="153">
        <f t="shared" si="32"/>
        <v>0</v>
      </c>
      <c r="Q72" s="153">
        <f t="shared" si="33"/>
        <v>0</v>
      </c>
      <c r="R72" s="153">
        <f t="shared" si="33"/>
        <v>0</v>
      </c>
      <c r="S72" s="153">
        <f t="shared" si="33"/>
        <v>0</v>
      </c>
      <c r="T72" s="153">
        <f t="shared" si="33"/>
        <v>0</v>
      </c>
      <c r="U72" s="153">
        <f t="shared" si="33"/>
        <v>0</v>
      </c>
      <c r="V72" s="153">
        <f t="shared" si="33"/>
        <v>0</v>
      </c>
      <c r="W72" s="153">
        <f t="shared" si="33"/>
        <v>0</v>
      </c>
      <c r="X72" s="153">
        <f t="shared" si="33"/>
        <v>126.19281982275623</v>
      </c>
      <c r="Y72" s="153">
        <f t="shared" si="33"/>
        <v>304.3907140612983</v>
      </c>
      <c r="Z72" s="153">
        <f t="shared" si="33"/>
        <v>327.96113671021465</v>
      </c>
      <c r="AA72" s="154">
        <f t="shared" si="33"/>
        <v>238.63935091845144</v>
      </c>
      <c r="AD72" s="163">
        <v>1200</v>
      </c>
      <c r="AE72" s="157">
        <v>2190</v>
      </c>
      <c r="AF72" s="152">
        <f>IF(G$60&gt;=$F72,$AD72-SUM($G72:G72),0)</f>
        <v>0</v>
      </c>
      <c r="AG72" s="153">
        <f>IF(H$60&gt;=$F72,$AD72-SUM($G72:H72),0)</f>
        <v>0</v>
      </c>
      <c r="AH72" s="153">
        <f>IF(I$60&gt;=$F72,$AD72-SUM($G72:I72),0)</f>
        <v>0</v>
      </c>
      <c r="AI72" s="153">
        <f>IF(J$60&gt;=$F72,$AD72-SUM($G72:J72),0)</f>
        <v>0</v>
      </c>
      <c r="AJ72" s="153">
        <f>IF(K$60&gt;=$F72,$AD72-SUM($G72:K72),0)</f>
        <v>0</v>
      </c>
      <c r="AK72" s="153">
        <f>IF(L$60&gt;=$F72,$AD72-SUM($G72:L72),0)</f>
        <v>0</v>
      </c>
      <c r="AL72" s="153">
        <f>IF(M$60&gt;=$F72,$AD72-SUM($G72:M72),0)</f>
        <v>0</v>
      </c>
      <c r="AM72" s="153">
        <f>IF(N$60&gt;=$F72,$AD72-SUM($G72:N72),0)</f>
        <v>0</v>
      </c>
      <c r="AN72" s="153">
        <f>IF(O$60&gt;=$F72,$AD72-SUM($G72:O72),0)</f>
        <v>0</v>
      </c>
      <c r="AO72" s="153">
        <f>IF(P$60&gt;=$F72,$AD72-SUM($G72:P72),0)</f>
        <v>0</v>
      </c>
      <c r="AP72" s="153">
        <f>IF(Q$60&gt;=$F72,$AD72-SUM($G72:Q72),0)</f>
        <v>0</v>
      </c>
      <c r="AQ72" s="153">
        <f>IF(R$60&gt;=$F72,$AD72-SUM($G72:R72),0)</f>
        <v>1200</v>
      </c>
      <c r="AR72" s="153">
        <f>IF(S$60&gt;=$F72,$AD72-SUM($G72:S72),0)</f>
        <v>1200</v>
      </c>
      <c r="AS72" s="153">
        <f>IF(T$60&gt;=$F72,$AD72-SUM($G72:T72),0)</f>
        <v>1200</v>
      </c>
      <c r="AT72" s="153">
        <f>IF(U$60&gt;=$F72,$AD72-SUM($G72:U72),0)</f>
        <v>1200</v>
      </c>
      <c r="AU72" s="153">
        <f>IF(V$60&gt;=$F72,$AD72-SUM($G72:V72),0)</f>
        <v>1200</v>
      </c>
      <c r="AV72" s="153">
        <f>IF(W$60&gt;=$F72,$AD72-SUM($G72:W72),0)</f>
        <v>1200</v>
      </c>
      <c r="AW72" s="153">
        <f>IF(X$60&gt;=$F72,$AD72-SUM($G72:X72),0)</f>
        <v>1073.8071801772437</v>
      </c>
      <c r="AX72" s="153">
        <f>IF(Y$60&gt;=$F72,$AD72-SUM($G72:Y72),0)</f>
        <v>769.41646611594547</v>
      </c>
      <c r="AY72" s="153">
        <f>IF(Z$60&gt;=$F72,$AD72-SUM($G72:Z72),0)</f>
        <v>441.45532940573082</v>
      </c>
      <c r="AZ72" s="154">
        <f>IF(AA$60&gt;=$F72,$AD72-SUM($G72:AA72),0)</f>
        <v>202.81597848727938</v>
      </c>
    </row>
    <row r="73" spans="5:52" x14ac:dyDescent="0.3">
      <c r="E73" s="163">
        <v>1300</v>
      </c>
      <c r="F73" s="157">
        <v>2200</v>
      </c>
      <c r="G73" s="152">
        <f t="shared" si="32"/>
        <v>0</v>
      </c>
      <c r="H73" s="153">
        <f t="shared" si="32"/>
        <v>0</v>
      </c>
      <c r="I73" s="153">
        <f t="shared" si="32"/>
        <v>0</v>
      </c>
      <c r="J73" s="153">
        <f t="shared" si="32"/>
        <v>0</v>
      </c>
      <c r="K73" s="153">
        <f t="shared" si="32"/>
        <v>0</v>
      </c>
      <c r="L73" s="153">
        <f t="shared" si="32"/>
        <v>0</v>
      </c>
      <c r="M73" s="153">
        <f t="shared" si="32"/>
        <v>0</v>
      </c>
      <c r="N73" s="153">
        <f t="shared" si="32"/>
        <v>0</v>
      </c>
      <c r="O73" s="153">
        <f t="shared" si="32"/>
        <v>0</v>
      </c>
      <c r="P73" s="153">
        <f t="shared" si="32"/>
        <v>0</v>
      </c>
      <c r="Q73" s="153">
        <f t="shared" si="33"/>
        <v>0</v>
      </c>
      <c r="R73" s="153">
        <f t="shared" si="33"/>
        <v>0</v>
      </c>
      <c r="S73" s="153">
        <f t="shared" si="33"/>
        <v>0</v>
      </c>
      <c r="T73" s="153">
        <f t="shared" si="33"/>
        <v>0</v>
      </c>
      <c r="U73" s="153">
        <f t="shared" si="33"/>
        <v>0</v>
      </c>
      <c r="V73" s="153">
        <f t="shared" si="33"/>
        <v>0</v>
      </c>
      <c r="W73" s="153">
        <f t="shared" si="33"/>
        <v>0</v>
      </c>
      <c r="X73" s="153">
        <f t="shared" si="33"/>
        <v>0</v>
      </c>
      <c r="Y73" s="153">
        <f t="shared" si="33"/>
        <v>136.70888814131925</v>
      </c>
      <c r="Z73" s="153">
        <f t="shared" si="33"/>
        <v>329.75660689973978</v>
      </c>
      <c r="AA73" s="154">
        <f t="shared" si="33"/>
        <v>355.29123143606591</v>
      </c>
      <c r="AD73" s="163">
        <v>1300</v>
      </c>
      <c r="AE73" s="157">
        <v>2200</v>
      </c>
      <c r="AF73" s="152">
        <f>IF(G$60&gt;=$F73,$AD73-SUM($G73:G73),0)</f>
        <v>0</v>
      </c>
      <c r="AG73" s="153">
        <f>IF(H$60&gt;=$F73,$AD73-SUM($G73:H73),0)</f>
        <v>0</v>
      </c>
      <c r="AH73" s="153">
        <f>IF(I$60&gt;=$F73,$AD73-SUM($G73:I73),0)</f>
        <v>0</v>
      </c>
      <c r="AI73" s="153">
        <f>IF(J$60&gt;=$F73,$AD73-SUM($G73:J73),0)</f>
        <v>0</v>
      </c>
      <c r="AJ73" s="153">
        <f>IF(K$60&gt;=$F73,$AD73-SUM($G73:K73),0)</f>
        <v>0</v>
      </c>
      <c r="AK73" s="153">
        <f>IF(L$60&gt;=$F73,$AD73-SUM($G73:L73),0)</f>
        <v>0</v>
      </c>
      <c r="AL73" s="153">
        <f>IF(M$60&gt;=$F73,$AD73-SUM($G73:M73),0)</f>
        <v>0</v>
      </c>
      <c r="AM73" s="153">
        <f>IF(N$60&gt;=$F73,$AD73-SUM($G73:N73),0)</f>
        <v>0</v>
      </c>
      <c r="AN73" s="153">
        <f>IF(O$60&gt;=$F73,$AD73-SUM($G73:O73),0)</f>
        <v>0</v>
      </c>
      <c r="AO73" s="153">
        <f>IF(P$60&gt;=$F73,$AD73-SUM($G73:P73),0)</f>
        <v>0</v>
      </c>
      <c r="AP73" s="153">
        <f>IF(Q$60&gt;=$F73,$AD73-SUM($G73:Q73),0)</f>
        <v>0</v>
      </c>
      <c r="AQ73" s="153">
        <f>IF(R$60&gt;=$F73,$AD73-SUM($G73:R73),0)</f>
        <v>0</v>
      </c>
      <c r="AR73" s="153">
        <f>IF(S$60&gt;=$F73,$AD73-SUM($G73:S73),0)</f>
        <v>1300</v>
      </c>
      <c r="AS73" s="153">
        <f>IF(T$60&gt;=$F73,$AD73-SUM($G73:T73),0)</f>
        <v>1300</v>
      </c>
      <c r="AT73" s="153">
        <f>IF(U$60&gt;=$F73,$AD73-SUM($G73:U73),0)</f>
        <v>1300</v>
      </c>
      <c r="AU73" s="153">
        <f>IF(V$60&gt;=$F73,$AD73-SUM($G73:V73),0)</f>
        <v>1300</v>
      </c>
      <c r="AV73" s="153">
        <f>IF(W$60&gt;=$F73,$AD73-SUM($G73:W73),0)</f>
        <v>1300</v>
      </c>
      <c r="AW73" s="153">
        <f>IF(X$60&gt;=$F73,$AD73-SUM($G73:X73),0)</f>
        <v>1300</v>
      </c>
      <c r="AX73" s="153">
        <f>IF(Y$60&gt;=$F73,$AD73-SUM($G73:Y73),0)</f>
        <v>1163.2911118586808</v>
      </c>
      <c r="AY73" s="153">
        <f>IF(Z$60&gt;=$F73,$AD73-SUM($G73:Z73),0)</f>
        <v>833.53450495894094</v>
      </c>
      <c r="AZ73" s="154">
        <f>IF(AA$60&gt;=$F73,$AD73-SUM($G73:AA73),0)</f>
        <v>478.24327352287503</v>
      </c>
    </row>
    <row r="74" spans="5:52" x14ac:dyDescent="0.3">
      <c r="E74" s="163">
        <v>1400</v>
      </c>
      <c r="F74" s="157">
        <v>2210</v>
      </c>
      <c r="G74" s="152">
        <f t="shared" si="32"/>
        <v>0</v>
      </c>
      <c r="H74" s="153">
        <f t="shared" si="32"/>
        <v>0</v>
      </c>
      <c r="I74" s="153">
        <f t="shared" si="32"/>
        <v>0</v>
      </c>
      <c r="J74" s="153">
        <f t="shared" si="32"/>
        <v>0</v>
      </c>
      <c r="K74" s="153">
        <f t="shared" si="32"/>
        <v>0</v>
      </c>
      <c r="L74" s="153">
        <f t="shared" si="32"/>
        <v>0</v>
      </c>
      <c r="M74" s="153">
        <f t="shared" si="32"/>
        <v>0</v>
      </c>
      <c r="N74" s="153">
        <f t="shared" si="32"/>
        <v>0</v>
      </c>
      <c r="O74" s="153">
        <f t="shared" si="32"/>
        <v>0</v>
      </c>
      <c r="P74" s="153">
        <f t="shared" si="32"/>
        <v>0</v>
      </c>
      <c r="Q74" s="153">
        <f t="shared" si="33"/>
        <v>0</v>
      </c>
      <c r="R74" s="153">
        <f t="shared" si="33"/>
        <v>0</v>
      </c>
      <c r="S74" s="153">
        <f t="shared" si="33"/>
        <v>0</v>
      </c>
      <c r="T74" s="153">
        <f t="shared" si="33"/>
        <v>0</v>
      </c>
      <c r="U74" s="153">
        <f t="shared" si="33"/>
        <v>0</v>
      </c>
      <c r="V74" s="153">
        <f t="shared" si="33"/>
        <v>0</v>
      </c>
      <c r="W74" s="153">
        <f t="shared" si="33"/>
        <v>0</v>
      </c>
      <c r="X74" s="153">
        <f t="shared" si="33"/>
        <v>0</v>
      </c>
      <c r="Y74" s="153">
        <f t="shared" si="33"/>
        <v>0</v>
      </c>
      <c r="Z74" s="153">
        <f t="shared" si="33"/>
        <v>147.22495645988226</v>
      </c>
      <c r="AA74" s="154">
        <f t="shared" si="33"/>
        <v>355.12249973818132</v>
      </c>
      <c r="AD74" s="163">
        <v>1400</v>
      </c>
      <c r="AE74" s="157">
        <v>2210</v>
      </c>
      <c r="AF74" s="152">
        <f>IF(G$60&gt;=$F74,$AD74-SUM($G74:G74),0)</f>
        <v>0</v>
      </c>
      <c r="AG74" s="153">
        <f>IF(H$60&gt;=$F74,$AD74-SUM($G74:H74),0)</f>
        <v>0</v>
      </c>
      <c r="AH74" s="153">
        <f>IF(I$60&gt;=$F74,$AD74-SUM($G74:I74),0)</f>
        <v>0</v>
      </c>
      <c r="AI74" s="153">
        <f>IF(J$60&gt;=$F74,$AD74-SUM($G74:J74),0)</f>
        <v>0</v>
      </c>
      <c r="AJ74" s="153">
        <f>IF(K$60&gt;=$F74,$AD74-SUM($G74:K74),0)</f>
        <v>0</v>
      </c>
      <c r="AK74" s="153">
        <f>IF(L$60&gt;=$F74,$AD74-SUM($G74:L74),0)</f>
        <v>0</v>
      </c>
      <c r="AL74" s="153">
        <f>IF(M$60&gt;=$F74,$AD74-SUM($G74:M74),0)</f>
        <v>0</v>
      </c>
      <c r="AM74" s="153">
        <f>IF(N$60&gt;=$F74,$AD74-SUM($G74:N74),0)</f>
        <v>0</v>
      </c>
      <c r="AN74" s="153">
        <f>IF(O$60&gt;=$F74,$AD74-SUM($G74:O74),0)</f>
        <v>0</v>
      </c>
      <c r="AO74" s="153">
        <f>IF(P$60&gt;=$F74,$AD74-SUM($G74:P74),0)</f>
        <v>0</v>
      </c>
      <c r="AP74" s="153">
        <f>IF(Q$60&gt;=$F74,$AD74-SUM($G74:Q74),0)</f>
        <v>0</v>
      </c>
      <c r="AQ74" s="153">
        <f>IF(R$60&gt;=$F74,$AD74-SUM($G74:R74),0)</f>
        <v>0</v>
      </c>
      <c r="AR74" s="153">
        <f>IF(S$60&gt;=$F74,$AD74-SUM($G74:S74),0)</f>
        <v>0</v>
      </c>
      <c r="AS74" s="153">
        <f>IF(T$60&gt;=$F74,$AD74-SUM($G74:T74),0)</f>
        <v>1400</v>
      </c>
      <c r="AT74" s="153">
        <f>IF(U$60&gt;=$F74,$AD74-SUM($G74:U74),0)</f>
        <v>1400</v>
      </c>
      <c r="AU74" s="153">
        <f>IF(V$60&gt;=$F74,$AD74-SUM($G74:V74),0)</f>
        <v>1400</v>
      </c>
      <c r="AV74" s="153">
        <f>IF(W$60&gt;=$F74,$AD74-SUM($G74:W74),0)</f>
        <v>1400</v>
      </c>
      <c r="AW74" s="153">
        <f>IF(X$60&gt;=$F74,$AD74-SUM($G74:X74),0)</f>
        <v>1400</v>
      </c>
      <c r="AX74" s="153">
        <f>IF(Y$60&gt;=$F74,$AD74-SUM($G74:Y74),0)</f>
        <v>1400</v>
      </c>
      <c r="AY74" s="153">
        <f>IF(Z$60&gt;=$F74,$AD74-SUM($G74:Z74),0)</f>
        <v>1252.7750435401176</v>
      </c>
      <c r="AZ74" s="154">
        <f>IF(AA$60&gt;=$F74,$AD74-SUM($G74:AA74),0)</f>
        <v>897.65254380193642</v>
      </c>
    </row>
    <row r="75" spans="5:52" x14ac:dyDescent="0.3">
      <c r="E75" s="163">
        <v>1500</v>
      </c>
      <c r="F75" s="157">
        <v>2220</v>
      </c>
      <c r="G75" s="152">
        <f t="shared" si="32"/>
        <v>0</v>
      </c>
      <c r="H75" s="153">
        <f t="shared" si="32"/>
        <v>0</v>
      </c>
      <c r="I75" s="153">
        <f t="shared" si="32"/>
        <v>0</v>
      </c>
      <c r="J75" s="153">
        <f t="shared" si="32"/>
        <v>0</v>
      </c>
      <c r="K75" s="153">
        <f t="shared" si="32"/>
        <v>0</v>
      </c>
      <c r="L75" s="153">
        <f t="shared" si="32"/>
        <v>0</v>
      </c>
      <c r="M75" s="153">
        <f t="shared" si="32"/>
        <v>0</v>
      </c>
      <c r="N75" s="153">
        <f t="shared" si="32"/>
        <v>0</v>
      </c>
      <c r="O75" s="153">
        <f t="shared" si="32"/>
        <v>0</v>
      </c>
      <c r="P75" s="153">
        <f t="shared" si="32"/>
        <v>0</v>
      </c>
      <c r="Q75" s="153">
        <f t="shared" si="33"/>
        <v>0</v>
      </c>
      <c r="R75" s="153">
        <f t="shared" si="33"/>
        <v>0</v>
      </c>
      <c r="S75" s="153">
        <f t="shared" si="33"/>
        <v>0</v>
      </c>
      <c r="T75" s="153">
        <f t="shared" si="33"/>
        <v>0</v>
      </c>
      <c r="U75" s="153">
        <f t="shared" si="33"/>
        <v>0</v>
      </c>
      <c r="V75" s="153">
        <f t="shared" si="33"/>
        <v>0</v>
      </c>
      <c r="W75" s="153">
        <f t="shared" si="33"/>
        <v>0</v>
      </c>
      <c r="X75" s="153">
        <f t="shared" si="33"/>
        <v>0</v>
      </c>
      <c r="Y75" s="153">
        <f t="shared" si="33"/>
        <v>0</v>
      </c>
      <c r="Z75" s="153">
        <f t="shared" si="33"/>
        <v>0</v>
      </c>
      <c r="AA75" s="154">
        <f t="shared" si="33"/>
        <v>157.74102477844531</v>
      </c>
      <c r="AD75" s="163">
        <v>1500</v>
      </c>
      <c r="AE75" s="157">
        <v>2220</v>
      </c>
      <c r="AF75" s="152">
        <f>IF(G$60&gt;=$F75,$AD75-SUM($G75:G75),0)</f>
        <v>0</v>
      </c>
      <c r="AG75" s="153">
        <f>IF(H$60&gt;=$F75,$AD75-SUM($G75:H75),0)</f>
        <v>0</v>
      </c>
      <c r="AH75" s="153">
        <f>IF(I$60&gt;=$F75,$AD75-SUM($G75:I75),0)</f>
        <v>0</v>
      </c>
      <c r="AI75" s="153">
        <f>IF(J$60&gt;=$F75,$AD75-SUM($G75:J75),0)</f>
        <v>0</v>
      </c>
      <c r="AJ75" s="153">
        <f>IF(K$60&gt;=$F75,$AD75-SUM($G75:K75),0)</f>
        <v>0</v>
      </c>
      <c r="AK75" s="153">
        <f>IF(L$60&gt;=$F75,$AD75-SUM($G75:L75),0)</f>
        <v>0</v>
      </c>
      <c r="AL75" s="153">
        <f>IF(M$60&gt;=$F75,$AD75-SUM($G75:M75),0)</f>
        <v>0</v>
      </c>
      <c r="AM75" s="153">
        <f>IF(N$60&gt;=$F75,$AD75-SUM($G75:N75),0)</f>
        <v>0</v>
      </c>
      <c r="AN75" s="153">
        <f>IF(O$60&gt;=$F75,$AD75-SUM($G75:O75),0)</f>
        <v>0</v>
      </c>
      <c r="AO75" s="153">
        <f>IF(P$60&gt;=$F75,$AD75-SUM($G75:P75),0)</f>
        <v>0</v>
      </c>
      <c r="AP75" s="153">
        <f>IF(Q$60&gt;=$F75,$AD75-SUM($G75:Q75),0)</f>
        <v>0</v>
      </c>
      <c r="AQ75" s="153">
        <f>IF(R$60&gt;=$F75,$AD75-SUM($G75:R75),0)</f>
        <v>0</v>
      </c>
      <c r="AR75" s="153">
        <f>IF(S$60&gt;=$F75,$AD75-SUM($G75:S75),0)</f>
        <v>0</v>
      </c>
      <c r="AS75" s="153">
        <f>IF(T$60&gt;=$F75,$AD75-SUM($G75:T75),0)</f>
        <v>0</v>
      </c>
      <c r="AT75" s="153">
        <f>IF(U$60&gt;=$F75,$AD75-SUM($G75:U75),0)</f>
        <v>1500</v>
      </c>
      <c r="AU75" s="153">
        <f>IF(V$60&gt;=$F75,$AD75-SUM($G75:V75),0)</f>
        <v>1500</v>
      </c>
      <c r="AV75" s="153">
        <f>IF(W$60&gt;=$F75,$AD75-SUM($G75:W75),0)</f>
        <v>1500</v>
      </c>
      <c r="AW75" s="153">
        <f>IF(X$60&gt;=$F75,$AD75-SUM($G75:X75),0)</f>
        <v>1500</v>
      </c>
      <c r="AX75" s="153">
        <f>IF(Y$60&gt;=$F75,$AD75-SUM($G75:Y75),0)</f>
        <v>1500</v>
      </c>
      <c r="AY75" s="153">
        <f>IF(Z$60&gt;=$F75,$AD75-SUM($G75:Z75),0)</f>
        <v>1500</v>
      </c>
      <c r="AZ75" s="154">
        <f>IF(AA$60&gt;=$F75,$AD75-SUM($G75:AA75),0)</f>
        <v>1342.2589752215547</v>
      </c>
    </row>
    <row r="76" spans="5:52" x14ac:dyDescent="0.3">
      <c r="E76" s="163">
        <v>1600</v>
      </c>
      <c r="F76" s="157">
        <v>2230</v>
      </c>
      <c r="G76" s="152">
        <f t="shared" si="32"/>
        <v>0</v>
      </c>
      <c r="H76" s="153">
        <f t="shared" si="32"/>
        <v>0</v>
      </c>
      <c r="I76" s="153">
        <f t="shared" si="32"/>
        <v>0</v>
      </c>
      <c r="J76" s="153">
        <f t="shared" si="32"/>
        <v>0</v>
      </c>
      <c r="K76" s="153">
        <f t="shared" si="32"/>
        <v>0</v>
      </c>
      <c r="L76" s="153">
        <f t="shared" si="32"/>
        <v>0</v>
      </c>
      <c r="M76" s="153">
        <f t="shared" si="32"/>
        <v>0</v>
      </c>
      <c r="N76" s="153">
        <f t="shared" si="32"/>
        <v>0</v>
      </c>
      <c r="O76" s="153">
        <f t="shared" si="32"/>
        <v>0</v>
      </c>
      <c r="P76" s="153">
        <f t="shared" si="32"/>
        <v>0</v>
      </c>
      <c r="Q76" s="153">
        <f t="shared" si="33"/>
        <v>0</v>
      </c>
      <c r="R76" s="153">
        <f t="shared" si="33"/>
        <v>0</v>
      </c>
      <c r="S76" s="153">
        <f t="shared" si="33"/>
        <v>0</v>
      </c>
      <c r="T76" s="153">
        <f t="shared" si="33"/>
        <v>0</v>
      </c>
      <c r="U76" s="153">
        <f t="shared" si="33"/>
        <v>0</v>
      </c>
      <c r="V76" s="153">
        <f t="shared" si="33"/>
        <v>0</v>
      </c>
      <c r="W76" s="153">
        <f t="shared" si="33"/>
        <v>0</v>
      </c>
      <c r="X76" s="153">
        <f t="shared" si="33"/>
        <v>0</v>
      </c>
      <c r="Y76" s="153">
        <f t="shared" si="33"/>
        <v>0</v>
      </c>
      <c r="Z76" s="153">
        <f t="shared" si="33"/>
        <v>0</v>
      </c>
      <c r="AA76" s="154">
        <f t="shared" si="33"/>
        <v>0</v>
      </c>
      <c r="AD76" s="163">
        <v>1600</v>
      </c>
      <c r="AE76" s="157">
        <v>2230</v>
      </c>
      <c r="AF76" s="152">
        <f>IF(G$60&gt;=$F76,$AD76-SUM($G76:G76),0)</f>
        <v>0</v>
      </c>
      <c r="AG76" s="153">
        <f>IF(H$60&gt;=$F76,$AD76-SUM($G76:H76),0)</f>
        <v>0</v>
      </c>
      <c r="AH76" s="153">
        <f>IF(I$60&gt;=$F76,$AD76-SUM($G76:I76),0)</f>
        <v>0</v>
      </c>
      <c r="AI76" s="153">
        <f>IF(J$60&gt;=$F76,$AD76-SUM($G76:J76),0)</f>
        <v>0</v>
      </c>
      <c r="AJ76" s="153">
        <f>IF(K$60&gt;=$F76,$AD76-SUM($G76:K76),0)</f>
        <v>0</v>
      </c>
      <c r="AK76" s="153">
        <f>IF(L$60&gt;=$F76,$AD76-SUM($G76:L76),0)</f>
        <v>0</v>
      </c>
      <c r="AL76" s="153">
        <f>IF(M$60&gt;=$F76,$AD76-SUM($G76:M76),0)</f>
        <v>0</v>
      </c>
      <c r="AM76" s="153">
        <f>IF(N$60&gt;=$F76,$AD76-SUM($G76:N76),0)</f>
        <v>0</v>
      </c>
      <c r="AN76" s="153">
        <f>IF(O$60&gt;=$F76,$AD76-SUM($G76:O76),0)</f>
        <v>0</v>
      </c>
      <c r="AO76" s="153">
        <f>IF(P$60&gt;=$F76,$AD76-SUM($G76:P76),0)</f>
        <v>0</v>
      </c>
      <c r="AP76" s="153">
        <f>IF(Q$60&gt;=$F76,$AD76-SUM($G76:Q76),0)</f>
        <v>0</v>
      </c>
      <c r="AQ76" s="153">
        <f>IF(R$60&gt;=$F76,$AD76-SUM($G76:R76),0)</f>
        <v>0</v>
      </c>
      <c r="AR76" s="153">
        <f>IF(S$60&gt;=$F76,$AD76-SUM($G76:S76),0)</f>
        <v>0</v>
      </c>
      <c r="AS76" s="153">
        <f>IF(T$60&gt;=$F76,$AD76-SUM($G76:T76),0)</f>
        <v>0</v>
      </c>
      <c r="AT76" s="153">
        <f>IF(U$60&gt;=$F76,$AD76-SUM($G76:U76),0)</f>
        <v>0</v>
      </c>
      <c r="AU76" s="153">
        <f>IF(V$60&gt;=$F76,$AD76-SUM($G76:V76),0)</f>
        <v>1600</v>
      </c>
      <c r="AV76" s="153">
        <f>IF(W$60&gt;=$F76,$AD76-SUM($G76:W76),0)</f>
        <v>1600</v>
      </c>
      <c r="AW76" s="153">
        <f>IF(X$60&gt;=$F76,$AD76-SUM($G76:X76),0)</f>
        <v>1600</v>
      </c>
      <c r="AX76" s="153">
        <f>IF(Y$60&gt;=$F76,$AD76-SUM($G76:Y76),0)</f>
        <v>1600</v>
      </c>
      <c r="AY76" s="153">
        <f>IF(Z$60&gt;=$F76,$AD76-SUM($G76:Z76),0)</f>
        <v>1600</v>
      </c>
      <c r="AZ76" s="154">
        <f>IF(AA$60&gt;=$F76,$AD76-SUM($G76:AA76),0)</f>
        <v>1600</v>
      </c>
    </row>
    <row r="77" spans="5:52" x14ac:dyDescent="0.3">
      <c r="E77" s="163">
        <v>1700</v>
      </c>
      <c r="F77" s="157">
        <v>2240</v>
      </c>
      <c r="G77" s="152">
        <f t="shared" si="32"/>
        <v>0</v>
      </c>
      <c r="H77" s="153">
        <f t="shared" si="32"/>
        <v>0</v>
      </c>
      <c r="I77" s="153">
        <f t="shared" si="32"/>
        <v>0</v>
      </c>
      <c r="J77" s="153">
        <f t="shared" si="32"/>
        <v>0</v>
      </c>
      <c r="K77" s="153">
        <f t="shared" si="32"/>
        <v>0</v>
      </c>
      <c r="L77" s="153">
        <f t="shared" si="32"/>
        <v>0</v>
      </c>
      <c r="M77" s="153">
        <f t="shared" si="32"/>
        <v>0</v>
      </c>
      <c r="N77" s="153">
        <f t="shared" si="32"/>
        <v>0</v>
      </c>
      <c r="O77" s="153">
        <f t="shared" si="32"/>
        <v>0</v>
      </c>
      <c r="P77" s="153">
        <f t="shared" si="32"/>
        <v>0</v>
      </c>
      <c r="Q77" s="153">
        <f t="shared" si="33"/>
        <v>0</v>
      </c>
      <c r="R77" s="153">
        <f t="shared" si="33"/>
        <v>0</v>
      </c>
      <c r="S77" s="153">
        <f t="shared" si="33"/>
        <v>0</v>
      </c>
      <c r="T77" s="153">
        <f t="shared" si="33"/>
        <v>0</v>
      </c>
      <c r="U77" s="153">
        <f t="shared" si="33"/>
        <v>0</v>
      </c>
      <c r="V77" s="153">
        <f t="shared" si="33"/>
        <v>0</v>
      </c>
      <c r="W77" s="153">
        <f t="shared" si="33"/>
        <v>0</v>
      </c>
      <c r="X77" s="153">
        <f t="shared" si="33"/>
        <v>0</v>
      </c>
      <c r="Y77" s="153">
        <f t="shared" si="33"/>
        <v>0</v>
      </c>
      <c r="Z77" s="153">
        <f t="shared" si="33"/>
        <v>0</v>
      </c>
      <c r="AA77" s="154">
        <f t="shared" si="33"/>
        <v>0</v>
      </c>
      <c r="AD77" s="163">
        <v>1700</v>
      </c>
      <c r="AE77" s="157">
        <v>2240</v>
      </c>
      <c r="AF77" s="152">
        <f>IF(G$60&gt;=$F77,$AD77-SUM($G77:G77),0)</f>
        <v>0</v>
      </c>
      <c r="AG77" s="153">
        <f>IF(H$60&gt;=$F77,$AD77-SUM($G77:H77),0)</f>
        <v>0</v>
      </c>
      <c r="AH77" s="153">
        <f>IF(I$60&gt;=$F77,$AD77-SUM($G77:I77),0)</f>
        <v>0</v>
      </c>
      <c r="AI77" s="153">
        <f>IF(J$60&gt;=$F77,$AD77-SUM($G77:J77),0)</f>
        <v>0</v>
      </c>
      <c r="AJ77" s="153">
        <f>IF(K$60&gt;=$F77,$AD77-SUM($G77:K77),0)</f>
        <v>0</v>
      </c>
      <c r="AK77" s="153">
        <f>IF(L$60&gt;=$F77,$AD77-SUM($G77:L77),0)</f>
        <v>0</v>
      </c>
      <c r="AL77" s="153">
        <f>IF(M$60&gt;=$F77,$AD77-SUM($G77:M77),0)</f>
        <v>0</v>
      </c>
      <c r="AM77" s="153">
        <f>IF(N$60&gt;=$F77,$AD77-SUM($G77:N77),0)</f>
        <v>0</v>
      </c>
      <c r="AN77" s="153">
        <f>IF(O$60&gt;=$F77,$AD77-SUM($G77:O77),0)</f>
        <v>0</v>
      </c>
      <c r="AO77" s="153">
        <f>IF(P$60&gt;=$F77,$AD77-SUM($G77:P77),0)</f>
        <v>0</v>
      </c>
      <c r="AP77" s="153">
        <f>IF(Q$60&gt;=$F77,$AD77-SUM($G77:Q77),0)</f>
        <v>0</v>
      </c>
      <c r="AQ77" s="153">
        <f>IF(R$60&gt;=$F77,$AD77-SUM($G77:R77),0)</f>
        <v>0</v>
      </c>
      <c r="AR77" s="153">
        <f>IF(S$60&gt;=$F77,$AD77-SUM($G77:S77),0)</f>
        <v>0</v>
      </c>
      <c r="AS77" s="153">
        <f>IF(T$60&gt;=$F77,$AD77-SUM($G77:T77),0)</f>
        <v>0</v>
      </c>
      <c r="AT77" s="153">
        <f>IF(U$60&gt;=$F77,$AD77-SUM($G77:U77),0)</f>
        <v>0</v>
      </c>
      <c r="AU77" s="153">
        <f>IF(V$60&gt;=$F77,$AD77-SUM($G77:V77),0)</f>
        <v>0</v>
      </c>
      <c r="AV77" s="153">
        <f>IF(W$60&gt;=$F77,$AD77-SUM($G77:W77),0)</f>
        <v>1700</v>
      </c>
      <c r="AW77" s="153">
        <f>IF(X$60&gt;=$F77,$AD77-SUM($G77:X77),0)</f>
        <v>1700</v>
      </c>
      <c r="AX77" s="153">
        <f>IF(Y$60&gt;=$F77,$AD77-SUM($G77:Y77),0)</f>
        <v>1700</v>
      </c>
      <c r="AY77" s="153">
        <f>IF(Z$60&gt;=$F77,$AD77-SUM($G77:Z77),0)</f>
        <v>1700</v>
      </c>
      <c r="AZ77" s="154">
        <f>IF(AA$60&gt;=$F77,$AD77-SUM($G77:AA77),0)</f>
        <v>1700</v>
      </c>
    </row>
    <row r="78" spans="5:52" x14ac:dyDescent="0.3">
      <c r="E78" s="163">
        <v>1800</v>
      </c>
      <c r="F78" s="157">
        <v>2250</v>
      </c>
      <c r="G78" s="152">
        <f t="shared" si="32"/>
        <v>0</v>
      </c>
      <c r="H78" s="153">
        <f t="shared" si="32"/>
        <v>0</v>
      </c>
      <c r="I78" s="153">
        <f t="shared" si="32"/>
        <v>0</v>
      </c>
      <c r="J78" s="153">
        <f t="shared" si="32"/>
        <v>0</v>
      </c>
      <c r="K78" s="153">
        <f t="shared" si="32"/>
        <v>0</v>
      </c>
      <c r="L78" s="153">
        <f t="shared" si="32"/>
        <v>0</v>
      </c>
      <c r="M78" s="153">
        <f t="shared" si="32"/>
        <v>0</v>
      </c>
      <c r="N78" s="153">
        <f t="shared" si="32"/>
        <v>0</v>
      </c>
      <c r="O78" s="153">
        <f t="shared" si="32"/>
        <v>0</v>
      </c>
      <c r="P78" s="153">
        <f t="shared" si="32"/>
        <v>0</v>
      </c>
      <c r="Q78" s="153">
        <f t="shared" si="33"/>
        <v>0</v>
      </c>
      <c r="R78" s="153">
        <f t="shared" si="33"/>
        <v>0</v>
      </c>
      <c r="S78" s="153">
        <f t="shared" si="33"/>
        <v>0</v>
      </c>
      <c r="T78" s="153">
        <f t="shared" si="33"/>
        <v>0</v>
      </c>
      <c r="U78" s="153">
        <f t="shared" si="33"/>
        <v>0</v>
      </c>
      <c r="V78" s="153">
        <f t="shared" si="33"/>
        <v>0</v>
      </c>
      <c r="W78" s="153">
        <f t="shared" si="33"/>
        <v>0</v>
      </c>
      <c r="X78" s="153">
        <f t="shared" si="33"/>
        <v>0</v>
      </c>
      <c r="Y78" s="153">
        <f t="shared" si="33"/>
        <v>0</v>
      </c>
      <c r="Z78" s="153">
        <f t="shared" si="33"/>
        <v>0</v>
      </c>
      <c r="AA78" s="154">
        <f t="shared" si="33"/>
        <v>0</v>
      </c>
      <c r="AD78" s="163">
        <v>1800</v>
      </c>
      <c r="AE78" s="157">
        <v>2250</v>
      </c>
      <c r="AF78" s="152">
        <f>IF(G$60&gt;=$F78,$AD78-SUM($G78:G78),0)</f>
        <v>0</v>
      </c>
      <c r="AG78" s="153">
        <f>IF(H$60&gt;=$F78,$AD78-SUM($G78:H78),0)</f>
        <v>0</v>
      </c>
      <c r="AH78" s="153">
        <f>IF(I$60&gt;=$F78,$AD78-SUM($G78:I78),0)</f>
        <v>0</v>
      </c>
      <c r="AI78" s="153">
        <f>IF(J$60&gt;=$F78,$AD78-SUM($G78:J78),0)</f>
        <v>0</v>
      </c>
      <c r="AJ78" s="153">
        <f>IF(K$60&gt;=$F78,$AD78-SUM($G78:K78),0)</f>
        <v>0</v>
      </c>
      <c r="AK78" s="153">
        <f>IF(L$60&gt;=$F78,$AD78-SUM($G78:L78),0)</f>
        <v>0</v>
      </c>
      <c r="AL78" s="153">
        <f>IF(M$60&gt;=$F78,$AD78-SUM($G78:M78),0)</f>
        <v>0</v>
      </c>
      <c r="AM78" s="153">
        <f>IF(N$60&gt;=$F78,$AD78-SUM($G78:N78),0)</f>
        <v>0</v>
      </c>
      <c r="AN78" s="153">
        <f>IF(O$60&gt;=$F78,$AD78-SUM($G78:O78),0)</f>
        <v>0</v>
      </c>
      <c r="AO78" s="153">
        <f>IF(P$60&gt;=$F78,$AD78-SUM($G78:P78),0)</f>
        <v>0</v>
      </c>
      <c r="AP78" s="153">
        <f>IF(Q$60&gt;=$F78,$AD78-SUM($G78:Q78),0)</f>
        <v>0</v>
      </c>
      <c r="AQ78" s="153">
        <f>IF(R$60&gt;=$F78,$AD78-SUM($G78:R78),0)</f>
        <v>0</v>
      </c>
      <c r="AR78" s="153">
        <f>IF(S$60&gt;=$F78,$AD78-SUM($G78:S78),0)</f>
        <v>0</v>
      </c>
      <c r="AS78" s="153">
        <f>IF(T$60&gt;=$F78,$AD78-SUM($G78:T78),0)</f>
        <v>0</v>
      </c>
      <c r="AT78" s="153">
        <f>IF(U$60&gt;=$F78,$AD78-SUM($G78:U78),0)</f>
        <v>0</v>
      </c>
      <c r="AU78" s="153">
        <f>IF(V$60&gt;=$F78,$AD78-SUM($G78:V78),0)</f>
        <v>0</v>
      </c>
      <c r="AV78" s="153">
        <f>IF(W$60&gt;=$F78,$AD78-SUM($G78:W78),0)</f>
        <v>0</v>
      </c>
      <c r="AW78" s="153">
        <f>IF(X$60&gt;=$F78,$AD78-SUM($G78:X78),0)</f>
        <v>1800</v>
      </c>
      <c r="AX78" s="153">
        <f>IF(Y$60&gt;=$F78,$AD78-SUM($G78:Y78),0)</f>
        <v>1800</v>
      </c>
      <c r="AY78" s="153">
        <f>IF(Z$60&gt;=$F78,$AD78-SUM($G78:Z78),0)</f>
        <v>1800</v>
      </c>
      <c r="AZ78" s="154">
        <f>IF(AA$60&gt;=$F78,$AD78-SUM($G78:AA78),0)</f>
        <v>1800</v>
      </c>
    </row>
    <row r="79" spans="5:52" x14ac:dyDescent="0.3">
      <c r="E79" s="163">
        <v>1900</v>
      </c>
      <c r="F79" s="157">
        <v>2260</v>
      </c>
      <c r="G79" s="152">
        <f t="shared" si="32"/>
        <v>0</v>
      </c>
      <c r="H79" s="153">
        <f t="shared" si="32"/>
        <v>0</v>
      </c>
      <c r="I79" s="153">
        <f t="shared" si="32"/>
        <v>0</v>
      </c>
      <c r="J79" s="153">
        <f t="shared" si="32"/>
        <v>0</v>
      </c>
      <c r="K79" s="153">
        <f t="shared" si="32"/>
        <v>0</v>
      </c>
      <c r="L79" s="153">
        <f t="shared" si="32"/>
        <v>0</v>
      </c>
      <c r="M79" s="153">
        <f t="shared" si="32"/>
        <v>0</v>
      </c>
      <c r="N79" s="153">
        <f t="shared" si="32"/>
        <v>0</v>
      </c>
      <c r="O79" s="153">
        <f t="shared" si="32"/>
        <v>0</v>
      </c>
      <c r="P79" s="153">
        <f t="shared" si="32"/>
        <v>0</v>
      </c>
      <c r="Q79" s="153">
        <f t="shared" si="33"/>
        <v>0</v>
      </c>
      <c r="R79" s="153">
        <f t="shared" si="33"/>
        <v>0</v>
      </c>
      <c r="S79" s="153">
        <f t="shared" si="33"/>
        <v>0</v>
      </c>
      <c r="T79" s="153">
        <f t="shared" si="33"/>
        <v>0</v>
      </c>
      <c r="U79" s="153">
        <f t="shared" si="33"/>
        <v>0</v>
      </c>
      <c r="V79" s="153">
        <f t="shared" si="33"/>
        <v>0</v>
      </c>
      <c r="W79" s="153">
        <f t="shared" si="33"/>
        <v>0</v>
      </c>
      <c r="X79" s="153">
        <f t="shared" si="33"/>
        <v>0</v>
      </c>
      <c r="Y79" s="153">
        <f t="shared" si="33"/>
        <v>0</v>
      </c>
      <c r="Z79" s="153">
        <f t="shared" si="33"/>
        <v>0</v>
      </c>
      <c r="AA79" s="154">
        <f t="shared" si="33"/>
        <v>0</v>
      </c>
      <c r="AD79" s="163">
        <v>1900</v>
      </c>
      <c r="AE79" s="157">
        <v>2260</v>
      </c>
      <c r="AF79" s="152">
        <f>IF(G$60&gt;=$F79,$AD79-SUM($G79:G79),0)</f>
        <v>0</v>
      </c>
      <c r="AG79" s="153">
        <f>IF(H$60&gt;=$F79,$AD79-SUM($G79:H79),0)</f>
        <v>0</v>
      </c>
      <c r="AH79" s="153">
        <f>IF(I$60&gt;=$F79,$AD79-SUM($G79:I79),0)</f>
        <v>0</v>
      </c>
      <c r="AI79" s="153">
        <f>IF(J$60&gt;=$F79,$AD79-SUM($G79:J79),0)</f>
        <v>0</v>
      </c>
      <c r="AJ79" s="153">
        <f>IF(K$60&gt;=$F79,$AD79-SUM($G79:K79),0)</f>
        <v>0</v>
      </c>
      <c r="AK79" s="153">
        <f>IF(L$60&gt;=$F79,$AD79-SUM($G79:L79),0)</f>
        <v>0</v>
      </c>
      <c r="AL79" s="153">
        <f>IF(M$60&gt;=$F79,$AD79-SUM($G79:M79),0)</f>
        <v>0</v>
      </c>
      <c r="AM79" s="153">
        <f>IF(N$60&gt;=$F79,$AD79-SUM($G79:N79),0)</f>
        <v>0</v>
      </c>
      <c r="AN79" s="153">
        <f>IF(O$60&gt;=$F79,$AD79-SUM($G79:O79),0)</f>
        <v>0</v>
      </c>
      <c r="AO79" s="153">
        <f>IF(P$60&gt;=$F79,$AD79-SUM($G79:P79),0)</f>
        <v>0</v>
      </c>
      <c r="AP79" s="153">
        <f>IF(Q$60&gt;=$F79,$AD79-SUM($G79:Q79),0)</f>
        <v>0</v>
      </c>
      <c r="AQ79" s="153">
        <f>IF(R$60&gt;=$F79,$AD79-SUM($G79:R79),0)</f>
        <v>0</v>
      </c>
      <c r="AR79" s="153">
        <f>IF(S$60&gt;=$F79,$AD79-SUM($G79:S79),0)</f>
        <v>0</v>
      </c>
      <c r="AS79" s="153">
        <f>IF(T$60&gt;=$F79,$AD79-SUM($G79:T79),0)</f>
        <v>0</v>
      </c>
      <c r="AT79" s="153">
        <f>IF(U$60&gt;=$F79,$AD79-SUM($G79:U79),0)</f>
        <v>0</v>
      </c>
      <c r="AU79" s="153">
        <f>IF(V$60&gt;=$F79,$AD79-SUM($G79:V79),0)</f>
        <v>0</v>
      </c>
      <c r="AV79" s="153">
        <f>IF(W$60&gt;=$F79,$AD79-SUM($G79:W79),0)</f>
        <v>0</v>
      </c>
      <c r="AW79" s="153">
        <f>IF(X$60&gt;=$F79,$AD79-SUM($G79:X79),0)</f>
        <v>0</v>
      </c>
      <c r="AX79" s="153">
        <f>IF(Y$60&gt;=$F79,$AD79-SUM($G79:Y79),0)</f>
        <v>1900</v>
      </c>
      <c r="AY79" s="153">
        <f>IF(Z$60&gt;=$F79,$AD79-SUM($G79:Z79),0)</f>
        <v>1900</v>
      </c>
      <c r="AZ79" s="154">
        <f>IF(AA$60&gt;=$F79,$AD79-SUM($G79:AA79),0)</f>
        <v>1900</v>
      </c>
    </row>
    <row r="80" spans="5:52" x14ac:dyDescent="0.3">
      <c r="E80" s="163">
        <v>2000</v>
      </c>
      <c r="F80" s="157">
        <v>2270</v>
      </c>
      <c r="G80" s="152">
        <f t="shared" si="32"/>
        <v>0</v>
      </c>
      <c r="H80" s="153">
        <f t="shared" si="32"/>
        <v>0</v>
      </c>
      <c r="I80" s="153">
        <f t="shared" si="32"/>
        <v>0</v>
      </c>
      <c r="J80" s="153">
        <f t="shared" si="32"/>
        <v>0</v>
      </c>
      <c r="K80" s="153">
        <f t="shared" si="32"/>
        <v>0</v>
      </c>
      <c r="L80" s="153">
        <f t="shared" si="32"/>
        <v>0</v>
      </c>
      <c r="M80" s="153">
        <f t="shared" si="32"/>
        <v>0</v>
      </c>
      <c r="N80" s="153">
        <f t="shared" si="32"/>
        <v>0</v>
      </c>
      <c r="O80" s="153">
        <f t="shared" si="32"/>
        <v>0</v>
      </c>
      <c r="P80" s="153">
        <f t="shared" si="32"/>
        <v>0</v>
      </c>
      <c r="Q80" s="153">
        <f t="shared" si="33"/>
        <v>0</v>
      </c>
      <c r="R80" s="153">
        <f t="shared" si="33"/>
        <v>0</v>
      </c>
      <c r="S80" s="153">
        <f t="shared" si="33"/>
        <v>0</v>
      </c>
      <c r="T80" s="153">
        <f t="shared" si="33"/>
        <v>0</v>
      </c>
      <c r="U80" s="153">
        <f t="shared" si="33"/>
        <v>0</v>
      </c>
      <c r="V80" s="153">
        <f t="shared" si="33"/>
        <v>0</v>
      </c>
      <c r="W80" s="153">
        <f t="shared" si="33"/>
        <v>0</v>
      </c>
      <c r="X80" s="153">
        <f t="shared" si="33"/>
        <v>0</v>
      </c>
      <c r="Y80" s="153">
        <f t="shared" si="33"/>
        <v>0</v>
      </c>
      <c r="Z80" s="153">
        <f t="shared" si="33"/>
        <v>0</v>
      </c>
      <c r="AA80" s="154">
        <f t="shared" si="33"/>
        <v>0</v>
      </c>
      <c r="AD80" s="163">
        <v>2000</v>
      </c>
      <c r="AE80" s="157">
        <v>2270</v>
      </c>
      <c r="AF80" s="152">
        <f>IF(G$60&gt;=$F80,$AD80-SUM($G80:G80),0)</f>
        <v>0</v>
      </c>
      <c r="AG80" s="153">
        <f>IF(H$60&gt;=$F80,$AD80-SUM($G80:H80),0)</f>
        <v>0</v>
      </c>
      <c r="AH80" s="153">
        <f>IF(I$60&gt;=$F80,$AD80-SUM($G80:I80),0)</f>
        <v>0</v>
      </c>
      <c r="AI80" s="153">
        <f>IF(J$60&gt;=$F80,$AD80-SUM($G80:J80),0)</f>
        <v>0</v>
      </c>
      <c r="AJ80" s="153">
        <f>IF(K$60&gt;=$F80,$AD80-SUM($G80:K80),0)</f>
        <v>0</v>
      </c>
      <c r="AK80" s="153">
        <f>IF(L$60&gt;=$F80,$AD80-SUM($G80:L80),0)</f>
        <v>0</v>
      </c>
      <c r="AL80" s="153">
        <f>IF(M$60&gt;=$F80,$AD80-SUM($G80:M80),0)</f>
        <v>0</v>
      </c>
      <c r="AM80" s="153">
        <f>IF(N$60&gt;=$F80,$AD80-SUM($G80:N80),0)</f>
        <v>0</v>
      </c>
      <c r="AN80" s="153">
        <f>IF(O$60&gt;=$F80,$AD80-SUM($G80:O80),0)</f>
        <v>0</v>
      </c>
      <c r="AO80" s="153">
        <f>IF(P$60&gt;=$F80,$AD80-SUM($G80:P80),0)</f>
        <v>0</v>
      </c>
      <c r="AP80" s="153">
        <f>IF(Q$60&gt;=$F80,$AD80-SUM($G80:Q80),0)</f>
        <v>0</v>
      </c>
      <c r="AQ80" s="153">
        <f>IF(R$60&gt;=$F80,$AD80-SUM($G80:R80),0)</f>
        <v>0</v>
      </c>
      <c r="AR80" s="153">
        <f>IF(S$60&gt;=$F80,$AD80-SUM($G80:S80),0)</f>
        <v>0</v>
      </c>
      <c r="AS80" s="153">
        <f>IF(T$60&gt;=$F80,$AD80-SUM($G80:T80),0)</f>
        <v>0</v>
      </c>
      <c r="AT80" s="153">
        <f>IF(U$60&gt;=$F80,$AD80-SUM($G80:U80),0)</f>
        <v>0</v>
      </c>
      <c r="AU80" s="153">
        <f>IF(V$60&gt;=$F80,$AD80-SUM($G80:V80),0)</f>
        <v>0</v>
      </c>
      <c r="AV80" s="153">
        <f>IF(W$60&gt;=$F80,$AD80-SUM($G80:W80),0)</f>
        <v>0</v>
      </c>
      <c r="AW80" s="153">
        <f>IF(X$60&gt;=$F80,$AD80-SUM($G80:X80),0)</f>
        <v>0</v>
      </c>
      <c r="AX80" s="153">
        <f>IF(Y$60&gt;=$F80,$AD80-SUM($G80:Y80),0)</f>
        <v>0</v>
      </c>
      <c r="AY80" s="153">
        <f>IF(Z$60&gt;=$F80,$AD80-SUM($G80:Z80),0)</f>
        <v>2000</v>
      </c>
      <c r="AZ80" s="154">
        <f>IF(AA$60&gt;=$F80,$AD80-SUM($G80:AA80),0)</f>
        <v>2000</v>
      </c>
    </row>
    <row r="81" spans="5:52" ht="15" thickBot="1" x14ac:dyDescent="0.35">
      <c r="E81" s="169">
        <v>2100</v>
      </c>
      <c r="F81" s="158">
        <v>2280</v>
      </c>
      <c r="G81" s="155">
        <f t="shared" si="32"/>
        <v>0</v>
      </c>
      <c r="H81" s="148">
        <f t="shared" si="32"/>
        <v>0</v>
      </c>
      <c r="I81" s="148">
        <f t="shared" si="32"/>
        <v>0</v>
      </c>
      <c r="J81" s="148">
        <f t="shared" si="32"/>
        <v>0</v>
      </c>
      <c r="K81" s="148">
        <f t="shared" si="32"/>
        <v>0</v>
      </c>
      <c r="L81" s="148">
        <f t="shared" si="32"/>
        <v>0</v>
      </c>
      <c r="M81" s="148">
        <f t="shared" si="32"/>
        <v>0</v>
      </c>
      <c r="N81" s="148">
        <f t="shared" si="32"/>
        <v>0</v>
      </c>
      <c r="O81" s="148">
        <f t="shared" si="32"/>
        <v>0</v>
      </c>
      <c r="P81" s="148">
        <f t="shared" si="32"/>
        <v>0</v>
      </c>
      <c r="Q81" s="148">
        <f t="shared" si="33"/>
        <v>0</v>
      </c>
      <c r="R81" s="148">
        <f t="shared" si="33"/>
        <v>0</v>
      </c>
      <c r="S81" s="148">
        <f t="shared" si="33"/>
        <v>0</v>
      </c>
      <c r="T81" s="148">
        <f t="shared" si="33"/>
        <v>0</v>
      </c>
      <c r="U81" s="148">
        <f t="shared" si="33"/>
        <v>0</v>
      </c>
      <c r="V81" s="148">
        <f t="shared" si="33"/>
        <v>0</v>
      </c>
      <c r="W81" s="148">
        <f t="shared" si="33"/>
        <v>0</v>
      </c>
      <c r="X81" s="148">
        <f t="shared" si="33"/>
        <v>0</v>
      </c>
      <c r="Y81" s="148">
        <f t="shared" si="33"/>
        <v>0</v>
      </c>
      <c r="Z81" s="148">
        <f t="shared" si="33"/>
        <v>0</v>
      </c>
      <c r="AA81" s="156">
        <f t="shared" si="33"/>
        <v>0</v>
      </c>
      <c r="AD81" s="169">
        <v>2100</v>
      </c>
      <c r="AE81" s="158">
        <v>2280</v>
      </c>
      <c r="AF81" s="155">
        <f>IF(G$60&gt;=$F81,$AD81-SUM($G81:G81),0)</f>
        <v>0</v>
      </c>
      <c r="AG81" s="148">
        <f>IF(H$60&gt;=$F81,$AD81-SUM($G81:H81),0)</f>
        <v>0</v>
      </c>
      <c r="AH81" s="148">
        <f>IF(I$60&gt;=$F81,$AD81-SUM($G81:I81),0)</f>
        <v>0</v>
      </c>
      <c r="AI81" s="148">
        <f>IF(J$60&gt;=$F81,$AD81-SUM($G81:J81),0)</f>
        <v>0</v>
      </c>
      <c r="AJ81" s="148">
        <f>IF(K$60&gt;=$F81,$AD81-SUM($G81:K81),0)</f>
        <v>0</v>
      </c>
      <c r="AK81" s="148">
        <f>IF(L$60&gt;=$F81,$AD81-SUM($G81:L81),0)</f>
        <v>0</v>
      </c>
      <c r="AL81" s="148">
        <f>IF(M$60&gt;=$F81,$AD81-SUM($G81:M81),0)</f>
        <v>0</v>
      </c>
      <c r="AM81" s="148">
        <f>IF(N$60&gt;=$F81,$AD81-SUM($G81:N81),0)</f>
        <v>0</v>
      </c>
      <c r="AN81" s="148">
        <f>IF(O$60&gt;=$F81,$AD81-SUM($G81:O81),0)</f>
        <v>0</v>
      </c>
      <c r="AO81" s="148">
        <f>IF(P$60&gt;=$F81,$AD81-SUM($G81:P81),0)</f>
        <v>0</v>
      </c>
      <c r="AP81" s="148">
        <f>IF(Q$60&gt;=$F81,$AD81-SUM($G81:Q81),0)</f>
        <v>0</v>
      </c>
      <c r="AQ81" s="148">
        <f>IF(R$60&gt;=$F81,$AD81-SUM($G81:R81),0)</f>
        <v>0</v>
      </c>
      <c r="AR81" s="148">
        <f>IF(S$60&gt;=$F81,$AD81-SUM($G81:S81),0)</f>
        <v>0</v>
      </c>
      <c r="AS81" s="148">
        <f>IF(T$60&gt;=$F81,$AD81-SUM($G81:T81),0)</f>
        <v>0</v>
      </c>
      <c r="AT81" s="148">
        <f>IF(U$60&gt;=$F81,$AD81-SUM($G81:U81),0)</f>
        <v>0</v>
      </c>
      <c r="AU81" s="148">
        <f>IF(V$60&gt;=$F81,$AD81-SUM($G81:V81),0)</f>
        <v>0</v>
      </c>
      <c r="AV81" s="148">
        <f>IF(W$60&gt;=$F81,$AD81-SUM($G81:W81),0)</f>
        <v>0</v>
      </c>
      <c r="AW81" s="148">
        <f>IF(X$60&gt;=$F81,$AD81-SUM($G81:X81),0)</f>
        <v>0</v>
      </c>
      <c r="AX81" s="148">
        <f>IF(Y$60&gt;=$F81,$AD81-SUM($G81:Y81),0)</f>
        <v>0</v>
      </c>
      <c r="AY81" s="148">
        <f>IF(Z$60&gt;=$F81,$AD81-SUM($G81:Z81),0)</f>
        <v>0</v>
      </c>
      <c r="AZ81" s="156">
        <f>IF(AA$60&gt;=$F81,$AD81-SUM($G81:AA81),0)</f>
        <v>2100</v>
      </c>
    </row>
    <row r="82" spans="5:52" ht="15" thickTop="1" x14ac:dyDescent="0.3">
      <c r="E82" s="170">
        <f>SUM(E60:E81)</f>
        <v>23100</v>
      </c>
      <c r="F82" s="157" t="s">
        <v>75</v>
      </c>
      <c r="G82" s="147">
        <f>SUM(G61:G81)</f>
        <v>0</v>
      </c>
      <c r="H82" s="147">
        <f t="shared" ref="H82:AA82" si="34">SUM(H61:H81)</f>
        <v>0</v>
      </c>
      <c r="I82" s="147">
        <f t="shared" si="34"/>
        <v>0</v>
      </c>
      <c r="J82" s="147">
        <f t="shared" si="34"/>
        <v>0</v>
      </c>
      <c r="K82" s="147">
        <f t="shared" si="34"/>
        <v>0</v>
      </c>
      <c r="L82" s="147">
        <f t="shared" si="34"/>
        <v>0</v>
      </c>
      <c r="M82" s="147">
        <f t="shared" si="34"/>
        <v>10.51606831856302</v>
      </c>
      <c r="N82" s="147">
        <f t="shared" si="34"/>
        <v>46.398029475567562</v>
      </c>
      <c r="O82" s="147">
        <f t="shared" si="34"/>
        <v>109.61008535842332</v>
      </c>
      <c r="P82" s="147">
        <f t="shared" si="34"/>
        <v>192.70875381781673</v>
      </c>
      <c r="Q82" s="147">
        <f t="shared" si="34"/>
        <v>286.4911014156051</v>
      </c>
      <c r="R82" s="147">
        <f t="shared" si="34"/>
        <v>384.6595375267317</v>
      </c>
      <c r="S82" s="147">
        <f t="shared" si="34"/>
        <v>484.22751357932231</v>
      </c>
      <c r="T82" s="147">
        <f t="shared" si="34"/>
        <v>584.14591479581497</v>
      </c>
      <c r="U82" s="147">
        <f t="shared" si="34"/>
        <v>684.06431601230781</v>
      </c>
      <c r="V82" s="147">
        <f t="shared" si="34"/>
        <v>783.98271722880054</v>
      </c>
      <c r="W82" s="147">
        <f t="shared" si="34"/>
        <v>883.90111844529349</v>
      </c>
      <c r="X82" s="147">
        <f t="shared" si="34"/>
        <v>983.81951966178622</v>
      </c>
      <c r="Y82" s="147">
        <f t="shared" si="34"/>
        <v>1083.7379208782788</v>
      </c>
      <c r="Z82" s="147">
        <f t="shared" si="34"/>
        <v>1183.6563220947714</v>
      </c>
      <c r="AA82" s="147">
        <f t="shared" si="34"/>
        <v>1283.5747233112645</v>
      </c>
      <c r="AD82" s="170">
        <f>SUM(AD60:AD81)</f>
        <v>23100</v>
      </c>
      <c r="AE82" s="157" t="s">
        <v>75</v>
      </c>
      <c r="AF82" s="147">
        <f>SUM(AF61:AF81)</f>
        <v>100</v>
      </c>
      <c r="AG82" s="147">
        <f t="shared" ref="AG82" si="35">SUM(AG61:AG81)</f>
        <v>300</v>
      </c>
      <c r="AH82" s="147">
        <f t="shared" ref="AH82" si="36">SUM(AH61:AH81)</f>
        <v>600</v>
      </c>
      <c r="AI82" s="147">
        <f t="shared" ref="AI82" si="37">SUM(AI61:AI81)</f>
        <v>1000</v>
      </c>
      <c r="AJ82" s="147">
        <f t="shared" ref="AJ82" si="38">SUM(AJ61:AJ81)</f>
        <v>1500</v>
      </c>
      <c r="AK82" s="147">
        <f t="shared" ref="AK82" si="39">SUM(AK61:AK81)</f>
        <v>2100</v>
      </c>
      <c r="AL82" s="147">
        <f t="shared" ref="AL82" si="40">SUM(AL61:AL81)</f>
        <v>2789.4839316814368</v>
      </c>
      <c r="AM82" s="147">
        <f t="shared" ref="AM82" si="41">SUM(AM61:AM81)</f>
        <v>3543.0859022058694</v>
      </c>
      <c r="AN82" s="147">
        <f t="shared" ref="AN82" si="42">SUM(AN61:AN81)</f>
        <v>4333.4758168474464</v>
      </c>
      <c r="AO82" s="147">
        <f t="shared" ref="AO82" si="43">SUM(AO61:AO81)</f>
        <v>5140.7670630296288</v>
      </c>
      <c r="AP82" s="147">
        <f t="shared" ref="AP82" si="44">SUM(AP61:AP81)</f>
        <v>5954.2759616140247</v>
      </c>
      <c r="AQ82" s="147">
        <f t="shared" ref="AQ82" si="45">SUM(AQ61:AQ81)</f>
        <v>6769.6164240872931</v>
      </c>
      <c r="AR82" s="147">
        <f t="shared" ref="AR82" si="46">SUM(AR61:AR81)</f>
        <v>7585.3889105079706</v>
      </c>
      <c r="AS82" s="147">
        <f t="shared" ref="AS82" si="47">SUM(AS61:AS81)</f>
        <v>8401.2429957121549</v>
      </c>
      <c r="AT82" s="147">
        <f t="shared" ref="AT82" si="48">SUM(AT61:AT81)</f>
        <v>9217.1786796998476</v>
      </c>
      <c r="AU82" s="147">
        <f t="shared" ref="AU82" si="49">SUM(AU61:AU81)</f>
        <v>10033.195962471047</v>
      </c>
      <c r="AV82" s="147">
        <f t="shared" ref="AV82" si="50">SUM(AV61:AV81)</f>
        <v>10849.294844025753</v>
      </c>
      <c r="AW82" s="147">
        <f t="shared" ref="AW82" si="51">SUM(AW61:AW81)</f>
        <v>11665.475324363968</v>
      </c>
      <c r="AX82" s="147">
        <f t="shared" ref="AX82" si="52">SUM(AX61:AX81)</f>
        <v>12481.737403485688</v>
      </c>
      <c r="AY82" s="147">
        <f t="shared" ref="AY82" si="53">SUM(AY61:AY81)</f>
        <v>13298.081081390916</v>
      </c>
      <c r="AZ82" s="147">
        <f t="shared" ref="AZ82" si="54">SUM(AZ61:AZ81)</f>
        <v>14114.506358079652</v>
      </c>
    </row>
    <row r="83" spans="5:52" x14ac:dyDescent="0.3">
      <c r="E83" s="167"/>
      <c r="AD83" s="167"/>
    </row>
  </sheetData>
  <conditionalFormatting sqref="F7:Z7">
    <cfRule type="cellIs" dxfId="1" priority="1" operator="equal">
      <formula>0</formula>
    </cfRule>
    <cfRule type="colorScale" priority="2">
      <colorScale>
        <cfvo type="min"/>
        <cfvo type="max"/>
        <color rgb="FFFCFCFF"/>
        <color rgb="FFC00000"/>
      </colorScale>
    </cfRule>
  </conditionalFormatting>
  <conditionalFormatting sqref="F8:Z8">
    <cfRule type="colorScale" priority="3">
      <colorScale>
        <cfvo type="min"/>
        <cfvo type="max"/>
        <color rgb="FFFCFCFF"/>
        <color rgb="FFF8696B"/>
      </colorScale>
    </cfRule>
    <cfRule type="colorScale" priority="4">
      <colorScale>
        <cfvo type="min"/>
        <cfvo type="max"/>
        <color rgb="FFFCFCFF"/>
        <color rgb="FF63BE7B"/>
      </colorScale>
    </cfRule>
  </conditionalFormatting>
  <conditionalFormatting sqref="F13:Z13">
    <cfRule type="colorScale" priority="56">
      <colorScale>
        <cfvo type="min"/>
        <cfvo type="max"/>
        <color rgb="FFFCFCFF"/>
        <color rgb="FF63BE7B"/>
      </colorScale>
    </cfRule>
  </conditionalFormatting>
  <conditionalFormatting sqref="G34:AA54">
    <cfRule type="colorScale" priority="17">
      <colorScale>
        <cfvo type="min"/>
        <cfvo type="max"/>
        <color rgb="FFFCFCFF"/>
        <color rgb="FFF8696B"/>
      </colorScale>
    </cfRule>
    <cfRule type="colorScale" priority="18">
      <colorScale>
        <cfvo type="min"/>
        <cfvo type="max"/>
        <color rgb="FFFCFCFF"/>
        <color rgb="FF63BE7B"/>
      </colorScale>
    </cfRule>
  </conditionalFormatting>
  <conditionalFormatting sqref="G55:AA55">
    <cfRule type="colorScale" priority="39">
      <colorScale>
        <cfvo type="min"/>
        <cfvo type="max"/>
        <color rgb="FFFCFCFF"/>
        <color rgb="FFF8696B"/>
      </colorScale>
    </cfRule>
  </conditionalFormatting>
  <conditionalFormatting sqref="G61:AA81">
    <cfRule type="colorScale" priority="50">
      <colorScale>
        <cfvo type="min"/>
        <cfvo type="max"/>
        <color rgb="FFFCFCFF"/>
        <color rgb="FF63BE7B"/>
      </colorScale>
    </cfRule>
    <cfRule type="colorScale" priority="52">
      <colorScale>
        <cfvo type="min"/>
        <cfvo type="max"/>
        <color rgb="FFFCFCFF"/>
        <color rgb="FF63BE7B"/>
      </colorScale>
    </cfRule>
  </conditionalFormatting>
  <conditionalFormatting sqref="G82:AA82">
    <cfRule type="colorScale" priority="47">
      <colorScale>
        <cfvo type="min"/>
        <cfvo type="max"/>
        <color rgb="FFFCFCFF"/>
        <color rgb="FF63BE7B"/>
      </colorScale>
    </cfRule>
  </conditionalFormatting>
  <conditionalFormatting sqref="AF34:AZ54">
    <cfRule type="colorScale" priority="19">
      <colorScale>
        <cfvo type="min"/>
        <cfvo type="max"/>
        <color rgb="FFFCFCFF"/>
        <color rgb="FFF8696B"/>
      </colorScale>
    </cfRule>
    <cfRule type="colorScale" priority="21">
      <colorScale>
        <cfvo type="min"/>
        <cfvo type="max"/>
        <color rgb="FFFCFCFF"/>
        <color rgb="FF63BE7B"/>
      </colorScale>
    </cfRule>
  </conditionalFormatting>
  <conditionalFormatting sqref="AF55:AZ55">
    <cfRule type="colorScale" priority="30">
      <colorScale>
        <cfvo type="min"/>
        <cfvo type="max"/>
        <color rgb="FFFCFCFF"/>
        <color rgb="FFF8696B"/>
      </colorScale>
    </cfRule>
  </conditionalFormatting>
  <conditionalFormatting sqref="AF61:AZ81">
    <cfRule type="colorScale" priority="22">
      <colorScale>
        <cfvo type="min"/>
        <cfvo type="max"/>
        <color rgb="FFFCFCFF"/>
        <color rgb="FF63BE7B"/>
      </colorScale>
    </cfRule>
    <cfRule type="colorScale" priority="24">
      <colorScale>
        <cfvo type="min"/>
        <cfvo type="max"/>
        <color rgb="FFFCFCFF"/>
        <color rgb="FF63BE7B"/>
      </colorScale>
    </cfRule>
  </conditionalFormatting>
  <conditionalFormatting sqref="AF82:AZ82">
    <cfRule type="colorScale" priority="36">
      <colorScale>
        <cfvo type="min"/>
        <cfvo type="max"/>
        <color rgb="FFFCFCFF"/>
        <color rgb="FF63BE7B"/>
      </colorScale>
    </cfRule>
  </conditionalFormatting>
  <dataValidations disablePrompts="1" count="1">
    <dataValidation type="whole" allowBlank="1" showInputMessage="1" showErrorMessage="1" sqref="G10" xr:uid="{BF86B721-DE49-473E-BBE6-EF59653201EA}">
      <formula1>0</formula1>
      <formula2>200</formula2>
    </dataValidation>
  </dataValidations>
  <pageMargins left="0.7" right="0.7" top="0.75" bottom="0.75" header="0.3" footer="0.3"/>
  <pageSetup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E62D0500-065F-43A6-BB72-D6C8B3CFE311}">
          <x14:colorSeries rgb="FF376092"/>
          <x14:colorNegative rgb="FFD00000"/>
          <x14:colorAxis rgb="FF000000"/>
          <x14:colorMarkers rgb="FFD00000"/>
          <x14:colorFirst rgb="FFD00000"/>
          <x14:colorLast rgb="FFD00000"/>
          <x14:colorHigh rgb="FFD00000"/>
          <x14:colorLow rgb="FFD00000"/>
          <x14:sparklines>
            <x14:sparkline>
              <xm:f>'Hummus Town, build more'!G61:AA61</xm:f>
              <xm:sqref>AB61</xm:sqref>
            </x14:sparkline>
            <x14:sparkline>
              <xm:f>'Hummus Town, build more'!G62:AA62</xm:f>
              <xm:sqref>AB62</xm:sqref>
            </x14:sparkline>
            <x14:sparkline>
              <xm:f>'Hummus Town, build more'!G63:AA63</xm:f>
              <xm:sqref>AB63</xm:sqref>
            </x14:sparkline>
            <x14:sparkline>
              <xm:f>'Hummus Town, build more'!G64:AA64</xm:f>
              <xm:sqref>AB64</xm:sqref>
            </x14:sparkline>
            <x14:sparkline>
              <xm:f>'Hummus Town, build more'!G65:AA65</xm:f>
              <xm:sqref>AB65</xm:sqref>
            </x14:sparkline>
            <x14:sparkline>
              <xm:f>'Hummus Town, build more'!G66:AA66</xm:f>
              <xm:sqref>AB66</xm:sqref>
            </x14:sparkline>
            <x14:sparkline>
              <xm:f>'Hummus Town, build more'!G67:AA67</xm:f>
              <xm:sqref>AB67</xm:sqref>
            </x14:sparkline>
            <x14:sparkline>
              <xm:f>'Hummus Town, build more'!G68:AA68</xm:f>
              <xm:sqref>AB68</xm:sqref>
            </x14:sparkline>
            <x14:sparkline>
              <xm:f>'Hummus Town, build more'!G69:AA69</xm:f>
              <xm:sqref>AB69</xm:sqref>
            </x14:sparkline>
            <x14:sparkline>
              <xm:f>'Hummus Town, build more'!G70:AA70</xm:f>
              <xm:sqref>AB70</xm:sqref>
            </x14:sparkline>
            <x14:sparkline>
              <xm:f>'Hummus Town, build more'!G71:AA71</xm:f>
              <xm:sqref>AB71</xm:sqref>
            </x14:sparkline>
            <x14:sparkline>
              <xm:f>'Hummus Town, build more'!G72:AA72</xm:f>
              <xm:sqref>AB72</xm:sqref>
            </x14:sparkline>
            <x14:sparkline>
              <xm:f>'Hummus Town, build more'!G73:AA73</xm:f>
              <xm:sqref>AB73</xm:sqref>
            </x14:sparkline>
            <x14:sparkline>
              <xm:f>'Hummus Town, build more'!G74:AA74</xm:f>
              <xm:sqref>AB74</xm:sqref>
            </x14:sparkline>
            <x14:sparkline>
              <xm:f>'Hummus Town, build more'!G75:AA75</xm:f>
              <xm:sqref>AB75</xm:sqref>
            </x14:sparkline>
            <x14:sparkline>
              <xm:f>'Hummus Town, build more'!G76:AA76</xm:f>
              <xm:sqref>AB76</xm:sqref>
            </x14:sparkline>
            <x14:sparkline>
              <xm:f>'Hummus Town, build more'!G77:AA77</xm:f>
              <xm:sqref>AB77</xm:sqref>
            </x14:sparkline>
            <x14:sparkline>
              <xm:f>'Hummus Town, build more'!G78:AA78</xm:f>
              <xm:sqref>AB78</xm:sqref>
            </x14:sparkline>
            <x14:sparkline>
              <xm:f>'Hummus Town, build more'!G79:AA79</xm:f>
              <xm:sqref>AB79</xm:sqref>
            </x14:sparkline>
            <x14:sparkline>
              <xm:f>'Hummus Town, build more'!G80:AA80</xm:f>
              <xm:sqref>AB80</xm:sqref>
            </x14:sparkline>
            <x14:sparkline>
              <xm:f>'Hummus Town, build more'!G81:AA81</xm:f>
              <xm:sqref>AB81</xm:sqref>
            </x14:sparkline>
            <x14:sparkline>
              <xm:f>'Hummus Town, build more'!G82:AA82</xm:f>
              <xm:sqref>AB82</xm:sqref>
            </x14:sparkline>
          </x14:sparklines>
        </x14:sparklineGroup>
        <x14:sparklineGroup displayEmptyCellsAs="gap" xr2:uid="{7C470078-0706-4A60-ACC4-DEB8D5A8E19A}">
          <x14:colorSeries rgb="FF376092"/>
          <x14:colorNegative rgb="FFD00000"/>
          <x14:colorAxis rgb="FF000000"/>
          <x14:colorMarkers rgb="FFD00000"/>
          <x14:colorFirst rgb="FFD00000"/>
          <x14:colorLast rgb="FFD00000"/>
          <x14:colorHigh rgb="FFD00000"/>
          <x14:colorLow rgb="FFD00000"/>
          <x14:sparklines>
            <x14:sparkline>
              <xm:f>'Hummus Town, build more'!E61:E81</xm:f>
              <xm:sqref>E83</xm:sqref>
            </x14:sparkline>
          </x14:sparklines>
        </x14:sparklineGroup>
        <x14:sparklineGroup displayEmptyCellsAs="gap" xr2:uid="{48E05C3E-5C1C-45BF-8012-9256EC008516}">
          <x14:colorSeries rgb="FF376092"/>
          <x14:colorNegative rgb="FFD00000"/>
          <x14:colorAxis rgb="FF000000"/>
          <x14:colorMarkers rgb="FFD00000"/>
          <x14:colorFirst rgb="FFD00000"/>
          <x14:colorLast rgb="FFD00000"/>
          <x14:colorHigh rgb="FFD00000"/>
          <x14:colorLow rgb="FFD00000"/>
          <x14:sparklines>
            <x14:sparkline>
              <xm:f>'Hummus Town, build more'!E34:E54</xm:f>
              <xm:sqref>E56</xm:sqref>
            </x14:sparkline>
          </x14:sparklines>
        </x14:sparklineGroup>
        <x14:sparklineGroup displayEmptyCellsAs="gap" xr2:uid="{BE125786-37C4-45AD-A144-200C5DCCB7BC}">
          <x14:colorSeries rgb="FF376092"/>
          <x14:colorNegative rgb="FFD00000"/>
          <x14:colorAxis rgb="FF000000"/>
          <x14:colorMarkers rgb="FFD00000"/>
          <x14:colorFirst rgb="FFD00000"/>
          <x14:colorLast rgb="FFD00000"/>
          <x14:colorHigh rgb="FFD00000"/>
          <x14:colorLow rgb="FFD00000"/>
          <x14:sparklines>
            <x14:sparkline>
              <xm:f>'Hummus Town, build more'!G34:AA34</xm:f>
              <xm:sqref>AB34</xm:sqref>
            </x14:sparkline>
            <x14:sparkline>
              <xm:f>'Hummus Town, build more'!G35:AA35</xm:f>
              <xm:sqref>AB35</xm:sqref>
            </x14:sparkline>
            <x14:sparkline>
              <xm:f>'Hummus Town, build more'!G36:AA36</xm:f>
              <xm:sqref>AB36</xm:sqref>
            </x14:sparkline>
            <x14:sparkline>
              <xm:f>'Hummus Town, build more'!G37:AA37</xm:f>
              <xm:sqref>AB37</xm:sqref>
            </x14:sparkline>
            <x14:sparkline>
              <xm:f>'Hummus Town, build more'!G38:AA38</xm:f>
              <xm:sqref>AB38</xm:sqref>
            </x14:sparkline>
            <x14:sparkline>
              <xm:f>'Hummus Town, build more'!G39:AA39</xm:f>
              <xm:sqref>AB39</xm:sqref>
            </x14:sparkline>
            <x14:sparkline>
              <xm:f>'Hummus Town, build more'!G40:AA40</xm:f>
              <xm:sqref>AB40</xm:sqref>
            </x14:sparkline>
            <x14:sparkline>
              <xm:f>'Hummus Town, build more'!G41:AA41</xm:f>
              <xm:sqref>AB41</xm:sqref>
            </x14:sparkline>
            <x14:sparkline>
              <xm:f>'Hummus Town, build more'!G42:AA42</xm:f>
              <xm:sqref>AB42</xm:sqref>
            </x14:sparkline>
            <x14:sparkline>
              <xm:f>'Hummus Town, build more'!G43:AA43</xm:f>
              <xm:sqref>AB43</xm:sqref>
            </x14:sparkline>
            <x14:sparkline>
              <xm:f>'Hummus Town, build more'!G44:AA44</xm:f>
              <xm:sqref>AB44</xm:sqref>
            </x14:sparkline>
            <x14:sparkline>
              <xm:f>'Hummus Town, build more'!G45:AA45</xm:f>
              <xm:sqref>AB45</xm:sqref>
            </x14:sparkline>
            <x14:sparkline>
              <xm:f>'Hummus Town, build more'!G46:AA46</xm:f>
              <xm:sqref>AB46</xm:sqref>
            </x14:sparkline>
            <x14:sparkline>
              <xm:f>'Hummus Town, build more'!G47:AA47</xm:f>
              <xm:sqref>AB47</xm:sqref>
            </x14:sparkline>
            <x14:sparkline>
              <xm:f>'Hummus Town, build more'!G48:AA48</xm:f>
              <xm:sqref>AB48</xm:sqref>
            </x14:sparkline>
            <x14:sparkline>
              <xm:f>'Hummus Town, build more'!G49:AA49</xm:f>
              <xm:sqref>AB49</xm:sqref>
            </x14:sparkline>
            <x14:sparkline>
              <xm:f>'Hummus Town, build more'!G50:AA50</xm:f>
              <xm:sqref>AB50</xm:sqref>
            </x14:sparkline>
            <x14:sparkline>
              <xm:f>'Hummus Town, build more'!G51:AA51</xm:f>
              <xm:sqref>AB51</xm:sqref>
            </x14:sparkline>
            <x14:sparkline>
              <xm:f>'Hummus Town, build more'!G52:AA52</xm:f>
              <xm:sqref>AB52</xm:sqref>
            </x14:sparkline>
            <x14:sparkline>
              <xm:f>'Hummus Town, build more'!G53:AA53</xm:f>
              <xm:sqref>AB53</xm:sqref>
            </x14:sparkline>
            <x14:sparkline>
              <xm:f>'Hummus Town, build more'!G54:AA54</xm:f>
              <xm:sqref>AB54</xm:sqref>
            </x14:sparkline>
            <x14:sparkline>
              <xm:f>'Hummus Town, build more'!G55:AA55</xm:f>
              <xm:sqref>AB55</xm:sqref>
            </x14:sparkline>
          </x14:sparklines>
        </x14:sparklineGroup>
        <x14:sparklineGroup displayEmptyCellsAs="gap" xr2:uid="{3D32A9A7-D136-4786-BBD2-A521694EC7A1}">
          <x14:colorSeries rgb="FF376092"/>
          <x14:colorNegative rgb="FFD00000"/>
          <x14:colorAxis rgb="FF000000"/>
          <x14:colorMarkers rgb="FFD00000"/>
          <x14:colorFirst rgb="FFD00000"/>
          <x14:colorLast rgb="FFD00000"/>
          <x14:colorHigh rgb="FFD00000"/>
          <x14:colorLow rgb="FFD00000"/>
          <x14:sparklines>
            <x14:sparkline>
              <xm:f>'Hummus Town, build more'!AF34:AZ34</xm:f>
              <xm:sqref>BA34</xm:sqref>
            </x14:sparkline>
            <x14:sparkline>
              <xm:f>'Hummus Town, build more'!AF35:AZ35</xm:f>
              <xm:sqref>BA35</xm:sqref>
            </x14:sparkline>
            <x14:sparkline>
              <xm:f>'Hummus Town, build more'!AF36:AZ36</xm:f>
              <xm:sqref>BA36</xm:sqref>
            </x14:sparkline>
            <x14:sparkline>
              <xm:f>'Hummus Town, build more'!AF37:AZ37</xm:f>
              <xm:sqref>BA37</xm:sqref>
            </x14:sparkline>
            <x14:sparkline>
              <xm:f>'Hummus Town, build more'!AF38:AZ38</xm:f>
              <xm:sqref>BA38</xm:sqref>
            </x14:sparkline>
            <x14:sparkline>
              <xm:f>'Hummus Town, build more'!AF39:AZ39</xm:f>
              <xm:sqref>BA39</xm:sqref>
            </x14:sparkline>
            <x14:sparkline>
              <xm:f>'Hummus Town, build more'!AF40:AZ40</xm:f>
              <xm:sqref>BA40</xm:sqref>
            </x14:sparkline>
            <x14:sparkline>
              <xm:f>'Hummus Town, build more'!AF41:AZ41</xm:f>
              <xm:sqref>BA41</xm:sqref>
            </x14:sparkline>
            <x14:sparkline>
              <xm:f>'Hummus Town, build more'!AF42:AZ42</xm:f>
              <xm:sqref>BA42</xm:sqref>
            </x14:sparkline>
            <x14:sparkline>
              <xm:f>'Hummus Town, build more'!AF43:AZ43</xm:f>
              <xm:sqref>BA43</xm:sqref>
            </x14:sparkline>
            <x14:sparkline>
              <xm:f>'Hummus Town, build more'!AF44:AZ44</xm:f>
              <xm:sqref>BA44</xm:sqref>
            </x14:sparkline>
            <x14:sparkline>
              <xm:f>'Hummus Town, build more'!AF45:AZ45</xm:f>
              <xm:sqref>BA45</xm:sqref>
            </x14:sparkline>
            <x14:sparkline>
              <xm:f>'Hummus Town, build more'!AF46:AZ46</xm:f>
              <xm:sqref>BA46</xm:sqref>
            </x14:sparkline>
            <x14:sparkline>
              <xm:f>'Hummus Town, build more'!AF47:AZ47</xm:f>
              <xm:sqref>BA47</xm:sqref>
            </x14:sparkline>
            <x14:sparkline>
              <xm:f>'Hummus Town, build more'!AF48:AZ48</xm:f>
              <xm:sqref>BA48</xm:sqref>
            </x14:sparkline>
            <x14:sparkline>
              <xm:f>'Hummus Town, build more'!AF49:AZ49</xm:f>
              <xm:sqref>BA49</xm:sqref>
            </x14:sparkline>
            <x14:sparkline>
              <xm:f>'Hummus Town, build more'!AF50:AZ50</xm:f>
              <xm:sqref>BA50</xm:sqref>
            </x14:sparkline>
            <x14:sparkline>
              <xm:f>'Hummus Town, build more'!AF51:AZ51</xm:f>
              <xm:sqref>BA51</xm:sqref>
            </x14:sparkline>
            <x14:sparkline>
              <xm:f>'Hummus Town, build more'!AF52:AZ52</xm:f>
              <xm:sqref>BA52</xm:sqref>
            </x14:sparkline>
            <x14:sparkline>
              <xm:f>'Hummus Town, build more'!AF53:AZ53</xm:f>
              <xm:sqref>BA53</xm:sqref>
            </x14:sparkline>
            <x14:sparkline>
              <xm:f>'Hummus Town, build more'!AF54:AZ54</xm:f>
              <xm:sqref>BA54</xm:sqref>
            </x14:sparkline>
            <x14:sparkline>
              <xm:f>'Hummus Town, build more'!AF55:AZ55</xm:f>
              <xm:sqref>BA55</xm:sqref>
            </x14:sparkline>
          </x14:sparklines>
        </x14:sparklineGroup>
        <x14:sparklineGroup displayEmptyCellsAs="gap" xr2:uid="{2C2B60D9-8C83-4F89-BE5E-E7B1B0011CED}">
          <x14:colorSeries rgb="FF376092"/>
          <x14:colorNegative rgb="FFD00000"/>
          <x14:colorAxis rgb="FF000000"/>
          <x14:colorMarkers rgb="FFD00000"/>
          <x14:colorFirst rgb="FFD00000"/>
          <x14:colorLast rgb="FFD00000"/>
          <x14:colorHigh rgb="FFD00000"/>
          <x14:colorLow rgb="FFD00000"/>
          <x14:sparklines>
            <x14:sparkline>
              <xm:f>'Hummus Town, build more'!AD34:AD54</xm:f>
              <xm:sqref>AD56</xm:sqref>
            </x14:sparkline>
          </x14:sparklines>
        </x14:sparklineGroup>
        <x14:sparklineGroup displayEmptyCellsAs="gap" xr2:uid="{727BE40B-BE33-498F-87B3-6587C93AE6D1}">
          <x14:colorSeries rgb="FF376092"/>
          <x14:colorNegative rgb="FFD00000"/>
          <x14:colorAxis rgb="FF000000"/>
          <x14:colorMarkers rgb="FFD00000"/>
          <x14:colorFirst rgb="FFD00000"/>
          <x14:colorLast rgb="FFD00000"/>
          <x14:colorHigh rgb="FFD00000"/>
          <x14:colorLow rgb="FFD00000"/>
          <x14:sparklines>
            <x14:sparkline>
              <xm:f>'Hummus Town, build more'!AF61:AZ61</xm:f>
              <xm:sqref>BA61</xm:sqref>
            </x14:sparkline>
            <x14:sparkline>
              <xm:f>'Hummus Town, build more'!AF62:AZ62</xm:f>
              <xm:sqref>BA62</xm:sqref>
            </x14:sparkline>
            <x14:sparkline>
              <xm:f>'Hummus Town, build more'!AF63:AZ63</xm:f>
              <xm:sqref>BA63</xm:sqref>
            </x14:sparkline>
            <x14:sparkline>
              <xm:f>'Hummus Town, build more'!AF64:AZ64</xm:f>
              <xm:sqref>BA64</xm:sqref>
            </x14:sparkline>
            <x14:sparkline>
              <xm:f>'Hummus Town, build more'!AF65:AZ65</xm:f>
              <xm:sqref>BA65</xm:sqref>
            </x14:sparkline>
            <x14:sparkline>
              <xm:f>'Hummus Town, build more'!AF66:AZ66</xm:f>
              <xm:sqref>BA66</xm:sqref>
            </x14:sparkline>
            <x14:sparkline>
              <xm:f>'Hummus Town, build more'!AF67:AZ67</xm:f>
              <xm:sqref>BA67</xm:sqref>
            </x14:sparkline>
            <x14:sparkline>
              <xm:f>'Hummus Town, build more'!AF68:AZ68</xm:f>
              <xm:sqref>BA68</xm:sqref>
            </x14:sparkline>
            <x14:sparkline>
              <xm:f>'Hummus Town, build more'!AF69:AZ69</xm:f>
              <xm:sqref>BA69</xm:sqref>
            </x14:sparkline>
            <x14:sparkline>
              <xm:f>'Hummus Town, build more'!AF70:AZ70</xm:f>
              <xm:sqref>BA70</xm:sqref>
            </x14:sparkline>
            <x14:sparkline>
              <xm:f>'Hummus Town, build more'!AF71:AZ71</xm:f>
              <xm:sqref>BA71</xm:sqref>
            </x14:sparkline>
            <x14:sparkline>
              <xm:f>'Hummus Town, build more'!AF72:AZ72</xm:f>
              <xm:sqref>BA72</xm:sqref>
            </x14:sparkline>
            <x14:sparkline>
              <xm:f>'Hummus Town, build more'!AF73:AZ73</xm:f>
              <xm:sqref>BA73</xm:sqref>
            </x14:sparkline>
            <x14:sparkline>
              <xm:f>'Hummus Town, build more'!AF74:AZ74</xm:f>
              <xm:sqref>BA74</xm:sqref>
            </x14:sparkline>
            <x14:sparkline>
              <xm:f>'Hummus Town, build more'!AF75:AZ75</xm:f>
              <xm:sqref>BA75</xm:sqref>
            </x14:sparkline>
            <x14:sparkline>
              <xm:f>'Hummus Town, build more'!AF76:AZ76</xm:f>
              <xm:sqref>BA76</xm:sqref>
            </x14:sparkline>
            <x14:sparkline>
              <xm:f>'Hummus Town, build more'!AF77:AZ77</xm:f>
              <xm:sqref>BA77</xm:sqref>
            </x14:sparkline>
            <x14:sparkline>
              <xm:f>'Hummus Town, build more'!AF78:AZ78</xm:f>
              <xm:sqref>BA78</xm:sqref>
            </x14:sparkline>
            <x14:sparkline>
              <xm:f>'Hummus Town, build more'!AF79:AZ79</xm:f>
              <xm:sqref>BA79</xm:sqref>
            </x14:sparkline>
            <x14:sparkline>
              <xm:f>'Hummus Town, build more'!AF80:AZ80</xm:f>
              <xm:sqref>BA80</xm:sqref>
            </x14:sparkline>
            <x14:sparkline>
              <xm:f>'Hummus Town, build more'!AF81:AZ81</xm:f>
              <xm:sqref>BA81</xm:sqref>
            </x14:sparkline>
            <x14:sparkline>
              <xm:f>'Hummus Town, build more'!AF82:AZ82</xm:f>
              <xm:sqref>BA82</xm:sqref>
            </x14:sparkline>
          </x14:sparklines>
        </x14:sparklineGroup>
        <x14:sparklineGroup displayEmptyCellsAs="gap" xr2:uid="{0DF56B0C-0C8B-42B5-9142-8A5E9E2D9BF3}">
          <x14:colorSeries rgb="FF376092"/>
          <x14:colorNegative rgb="FFD00000"/>
          <x14:colorAxis rgb="FF000000"/>
          <x14:colorMarkers rgb="FFD00000"/>
          <x14:colorFirst rgb="FFD00000"/>
          <x14:colorLast rgb="FFD00000"/>
          <x14:colorHigh rgb="FFD00000"/>
          <x14:colorLow rgb="FFD00000"/>
          <x14:sparklines>
            <x14:sparkline>
              <xm:f>'Hummus Town, build more'!AD61:AD81</xm:f>
              <xm:sqref>AD83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F803C-74B7-4BD1-9B1B-2DE3ABEFB6DC}">
  <dimension ref="B4:Z10"/>
  <sheetViews>
    <sheetView workbookViewId="0">
      <selection activeCell="E15" sqref="E15"/>
    </sheetView>
  </sheetViews>
  <sheetFormatPr defaultRowHeight="14.4" x14ac:dyDescent="0.3"/>
  <cols>
    <col min="5" max="5" width="20.88671875" customWidth="1"/>
  </cols>
  <sheetData>
    <row r="4" spans="2:26" ht="15" thickBot="1" x14ac:dyDescent="0.35"/>
    <row r="5" spans="2:26" x14ac:dyDescent="0.3">
      <c r="B5" s="191" t="s">
        <v>113</v>
      </c>
      <c r="C5" s="125"/>
      <c r="E5" s="159" t="s">
        <v>70</v>
      </c>
      <c r="F5" s="160"/>
      <c r="G5" s="160"/>
      <c r="H5" s="160"/>
      <c r="I5" s="160"/>
      <c r="J5" s="160"/>
      <c r="K5" s="160"/>
      <c r="L5" s="160"/>
      <c r="M5" s="160"/>
      <c r="N5" s="160"/>
      <c r="O5" s="160"/>
      <c r="P5" s="160"/>
      <c r="Q5" s="160"/>
      <c r="R5" s="160"/>
      <c r="S5" s="160"/>
      <c r="T5" s="160"/>
      <c r="U5" s="160"/>
      <c r="V5" s="160"/>
      <c r="W5" s="160"/>
      <c r="X5" s="160"/>
      <c r="Y5" s="160"/>
      <c r="Z5" s="161"/>
    </row>
    <row r="6" spans="2:26" x14ac:dyDescent="0.3">
      <c r="B6" s="192" t="s">
        <v>114</v>
      </c>
      <c r="C6" s="213">
        <v>10</v>
      </c>
      <c r="E6" s="162" t="s">
        <v>69</v>
      </c>
      <c r="F6" s="106">
        <v>0</v>
      </c>
      <c r="G6" s="106">
        <v>10</v>
      </c>
      <c r="H6" s="106">
        <v>20</v>
      </c>
      <c r="I6" s="106">
        <v>30</v>
      </c>
      <c r="J6" s="106">
        <v>40</v>
      </c>
      <c r="K6" s="106">
        <v>50</v>
      </c>
      <c r="L6" s="106">
        <v>60</v>
      </c>
      <c r="M6" s="106">
        <v>70</v>
      </c>
      <c r="N6" s="106">
        <v>80</v>
      </c>
      <c r="O6" s="106">
        <v>90</v>
      </c>
      <c r="P6" s="106">
        <v>100</v>
      </c>
      <c r="Q6" s="106">
        <v>110</v>
      </c>
      <c r="R6" s="106">
        <v>120</v>
      </c>
      <c r="S6" s="106">
        <v>130</v>
      </c>
      <c r="T6" s="106">
        <v>140</v>
      </c>
      <c r="U6" s="106">
        <v>150</v>
      </c>
      <c r="V6" s="106">
        <v>160</v>
      </c>
      <c r="W6" s="106">
        <v>170</v>
      </c>
      <c r="X6" s="106">
        <v>180</v>
      </c>
      <c r="Y6" s="106">
        <v>190</v>
      </c>
      <c r="Z6" s="163">
        <v>200</v>
      </c>
    </row>
    <row r="7" spans="2:26" x14ac:dyDescent="0.3">
      <c r="B7" s="192" t="s">
        <v>115</v>
      </c>
      <c r="C7" s="213">
        <v>2</v>
      </c>
      <c r="E7" s="162" t="s">
        <v>120</v>
      </c>
      <c r="F7" s="194">
        <f t="shared" ref="F7:Z7" si="0">IF(F$6&lt;shift_orig,0,_xlfn.WEIBULL.DIST(F$6-shift_orig,shape_orig,scale_orig,TRUE))</f>
        <v>0</v>
      </c>
      <c r="G7" s="194">
        <f t="shared" si="0"/>
        <v>0</v>
      </c>
      <c r="H7" s="194">
        <f t="shared" si="0"/>
        <v>0.1051606831856302</v>
      </c>
      <c r="I7" s="194">
        <f t="shared" si="0"/>
        <v>0.35881961157004544</v>
      </c>
      <c r="J7" s="194">
        <f t="shared" si="0"/>
        <v>0.63212055882855767</v>
      </c>
      <c r="K7" s="194">
        <f t="shared" si="0"/>
        <v>0.83098668459393388</v>
      </c>
      <c r="L7" s="194">
        <f t="shared" si="0"/>
        <v>0.93782347597788374</v>
      </c>
      <c r="M7" s="194">
        <f t="shared" si="0"/>
        <v>0.98168436111126578</v>
      </c>
      <c r="N7" s="194">
        <f t="shared" si="0"/>
        <v>0.9956797605259059</v>
      </c>
      <c r="O7" s="194">
        <f t="shared" si="0"/>
        <v>0.9991840121649278</v>
      </c>
      <c r="P7" s="194">
        <f t="shared" si="0"/>
        <v>0.99987659019591335</v>
      </c>
      <c r="Q7" s="194">
        <f t="shared" si="0"/>
        <v>0.99998505466147525</v>
      </c>
      <c r="R7" s="194">
        <f t="shared" si="0"/>
        <v>0.99999855072111288</v>
      </c>
      <c r="S7" s="194">
        <f t="shared" si="0"/>
        <v>0.99999988746482527</v>
      </c>
      <c r="T7" s="194">
        <f t="shared" si="0"/>
        <v>0.99999999300295406</v>
      </c>
      <c r="U7" s="194">
        <f t="shared" si="0"/>
        <v>0.99999999965163755</v>
      </c>
      <c r="V7" s="194">
        <f t="shared" si="0"/>
        <v>0.99999999998611211</v>
      </c>
      <c r="W7" s="194">
        <f t="shared" si="0"/>
        <v>0.99999999999955669</v>
      </c>
      <c r="X7" s="194">
        <f t="shared" si="0"/>
        <v>0.99999999999998868</v>
      </c>
      <c r="Y7" s="194">
        <f t="shared" si="0"/>
        <v>0.99999999999999978</v>
      </c>
      <c r="Z7" s="194">
        <f t="shared" si="0"/>
        <v>1</v>
      </c>
    </row>
    <row r="8" spans="2:26" ht="15" thickBot="1" x14ac:dyDescent="0.35">
      <c r="B8" s="193" t="s">
        <v>116</v>
      </c>
      <c r="C8" s="214">
        <v>30</v>
      </c>
      <c r="E8" s="178" t="s">
        <v>121</v>
      </c>
      <c r="F8" s="165">
        <v>0</v>
      </c>
      <c r="G8" s="165">
        <f>G7-F7</f>
        <v>0</v>
      </c>
      <c r="H8" s="165">
        <f>H7-G7</f>
        <v>0.1051606831856302</v>
      </c>
      <c r="I8" s="165">
        <f t="shared" ref="I8:Z8" si="1">I7-H7</f>
        <v>0.25365892838441523</v>
      </c>
      <c r="J8" s="165">
        <f t="shared" si="1"/>
        <v>0.27330094725851223</v>
      </c>
      <c r="K8" s="165">
        <f t="shared" si="1"/>
        <v>0.19886612576537621</v>
      </c>
      <c r="L8" s="165">
        <f t="shared" si="1"/>
        <v>0.10683679138394986</v>
      </c>
      <c r="M8" s="165">
        <f t="shared" si="1"/>
        <v>4.3860885133382044E-2</v>
      </c>
      <c r="N8" s="165">
        <f t="shared" si="1"/>
        <v>1.3995399414640119E-2</v>
      </c>
      <c r="O8" s="165">
        <f t="shared" si="1"/>
        <v>3.5042516390219047E-3</v>
      </c>
      <c r="P8" s="165">
        <f t="shared" si="1"/>
        <v>6.9257803098554671E-4</v>
      </c>
      <c r="Q8" s="165">
        <f t="shared" si="1"/>
        <v>1.0846446556189715E-4</v>
      </c>
      <c r="R8" s="165">
        <f t="shared" si="1"/>
        <v>1.3496059637629898E-5</v>
      </c>
      <c r="S8" s="165">
        <f t="shared" si="1"/>
        <v>1.3367437123879E-6</v>
      </c>
      <c r="T8" s="165">
        <f t="shared" si="1"/>
        <v>1.0553812879177116E-7</v>
      </c>
      <c r="U8" s="165">
        <f t="shared" si="1"/>
        <v>6.6486834926493543E-9</v>
      </c>
      <c r="V8" s="165">
        <f t="shared" si="1"/>
        <v>3.344745591604692E-10</v>
      </c>
      <c r="W8" s="165">
        <f t="shared" si="1"/>
        <v>1.3444578783605721E-11</v>
      </c>
      <c r="X8" s="165">
        <f t="shared" si="1"/>
        <v>4.3198777888164841E-13</v>
      </c>
      <c r="Y8" s="165">
        <f t="shared" si="1"/>
        <v>1.1102230246251565E-14</v>
      </c>
      <c r="Z8" s="165">
        <f t="shared" si="1"/>
        <v>0</v>
      </c>
    </row>
    <row r="9" spans="2:26" x14ac:dyDescent="0.3">
      <c r="E9" s="106" t="s">
        <v>122</v>
      </c>
      <c r="F9" s="215">
        <f>COUNTIF('Home Tracker Input Sheet'!$P$6:$P$15,Lifespan!F6)</f>
        <v>0</v>
      </c>
      <c r="G9" s="215">
        <f>COUNTIF('Home Tracker Input Sheet'!$P$6:$P$15,Lifespan!G6)</f>
        <v>0</v>
      </c>
      <c r="H9" s="215">
        <f>COUNTIF('Home Tracker Input Sheet'!$P$6:$P$15,Lifespan!H6)</f>
        <v>0</v>
      </c>
      <c r="I9" s="215">
        <f>COUNTIF('Home Tracker Input Sheet'!$P$6:$P$15,Lifespan!I6)</f>
        <v>0</v>
      </c>
      <c r="J9" s="215">
        <f>COUNTIF('Home Tracker Input Sheet'!$P$6:$P$15,Lifespan!J6)</f>
        <v>0</v>
      </c>
      <c r="K9" s="215">
        <f>COUNTIF('Home Tracker Input Sheet'!$P$6:$P$15,Lifespan!K6)</f>
        <v>0</v>
      </c>
      <c r="L9" s="215">
        <f>COUNTIF('Home Tracker Input Sheet'!$P$6:$P$15,Lifespan!L6)</f>
        <v>1</v>
      </c>
      <c r="M9" s="215">
        <f>COUNTIF('Home Tracker Input Sheet'!$P$6:$P$15,Lifespan!M6)</f>
        <v>0</v>
      </c>
      <c r="N9" s="215">
        <f>COUNTIF('Home Tracker Input Sheet'!$P$6:$P$15,Lifespan!N6)</f>
        <v>0</v>
      </c>
      <c r="O9" s="215">
        <f>COUNTIF('Home Tracker Input Sheet'!$P$6:$P$15,Lifespan!O6)</f>
        <v>0</v>
      </c>
      <c r="P9" s="215">
        <f>COUNTIF('Home Tracker Input Sheet'!$P$6:$P$15,Lifespan!P6)</f>
        <v>0</v>
      </c>
      <c r="Q9" s="215">
        <f>COUNTIF('Home Tracker Input Sheet'!$P$6:$P$15,Lifespan!Q6)</f>
        <v>0</v>
      </c>
      <c r="R9" s="215">
        <f>COUNTIF('Home Tracker Input Sheet'!$P$6:$P$15,Lifespan!R6)</f>
        <v>0</v>
      </c>
      <c r="S9" s="215">
        <f>COUNTIF('Home Tracker Input Sheet'!$P$6:$P$15,Lifespan!S6)</f>
        <v>0</v>
      </c>
      <c r="T9" s="215">
        <f>COUNTIF('Home Tracker Input Sheet'!$P$6:$P$15,Lifespan!T6)</f>
        <v>0</v>
      </c>
      <c r="U9" s="215">
        <f>COUNTIF('Home Tracker Input Sheet'!$P$6:$P$15,Lifespan!U6)</f>
        <v>0</v>
      </c>
      <c r="V9" s="215">
        <f>COUNTIF('Home Tracker Input Sheet'!$P$6:$P$15,Lifespan!V6)</f>
        <v>0</v>
      </c>
      <c r="W9" s="215">
        <f>COUNTIF('Home Tracker Input Sheet'!$P$6:$P$15,Lifespan!W6)</f>
        <v>0</v>
      </c>
      <c r="X9" s="215">
        <f>COUNTIF('Home Tracker Input Sheet'!$P$6:$P$15,Lifespan!X6)</f>
        <v>0</v>
      </c>
      <c r="Y9" s="215">
        <f>COUNTIF('Home Tracker Input Sheet'!$P$6:$P$15,Lifespan!Y6)</f>
        <v>0</v>
      </c>
      <c r="Z9" s="215">
        <f>COUNTIF('Home Tracker Input Sheet'!$P$6:$P$15,Lifespan!Z6)</f>
        <v>0</v>
      </c>
    </row>
    <row r="10" spans="2:26" x14ac:dyDescent="0.3">
      <c r="E10" s="106" t="s">
        <v>125</v>
      </c>
      <c r="F10" s="216">
        <f>IFERROR(F9/SUM($F$9:$Z$9), "Home Tracker Input Sheet data needed")</f>
        <v>0</v>
      </c>
      <c r="G10" s="216">
        <f t="shared" ref="G10:Z10" si="2">IFERROR(G9/SUM($F$9:$Z$9), "Home Tracker Input Sheet data needed")</f>
        <v>0</v>
      </c>
      <c r="H10" s="216">
        <f t="shared" si="2"/>
        <v>0</v>
      </c>
      <c r="I10" s="216">
        <f t="shared" si="2"/>
        <v>0</v>
      </c>
      <c r="J10" s="216">
        <f t="shared" si="2"/>
        <v>0</v>
      </c>
      <c r="K10" s="216">
        <f t="shared" si="2"/>
        <v>0</v>
      </c>
      <c r="L10" s="216">
        <f t="shared" si="2"/>
        <v>1</v>
      </c>
      <c r="M10" s="216">
        <f t="shared" si="2"/>
        <v>0</v>
      </c>
      <c r="N10" s="216">
        <f t="shared" si="2"/>
        <v>0</v>
      </c>
      <c r="O10" s="216">
        <f t="shared" si="2"/>
        <v>0</v>
      </c>
      <c r="P10" s="216">
        <f t="shared" si="2"/>
        <v>0</v>
      </c>
      <c r="Q10" s="216">
        <f t="shared" si="2"/>
        <v>0</v>
      </c>
      <c r="R10" s="216">
        <f t="shared" si="2"/>
        <v>0</v>
      </c>
      <c r="S10" s="216">
        <f t="shared" si="2"/>
        <v>0</v>
      </c>
      <c r="T10" s="216">
        <f t="shared" si="2"/>
        <v>0</v>
      </c>
      <c r="U10" s="216">
        <f t="shared" si="2"/>
        <v>0</v>
      </c>
      <c r="V10" s="216">
        <f t="shared" si="2"/>
        <v>0</v>
      </c>
      <c r="W10" s="216">
        <f t="shared" si="2"/>
        <v>0</v>
      </c>
      <c r="X10" s="216">
        <f t="shared" si="2"/>
        <v>0</v>
      </c>
      <c r="Y10" s="216">
        <f t="shared" si="2"/>
        <v>0</v>
      </c>
      <c r="Z10" s="216">
        <f t="shared" si="2"/>
        <v>0</v>
      </c>
    </row>
  </sheetData>
  <conditionalFormatting sqref="F7:Z7">
    <cfRule type="cellIs" dxfId="0" priority="1" operator="equal">
      <formula>0</formula>
    </cfRule>
    <cfRule type="colorScale" priority="2">
      <colorScale>
        <cfvo type="min"/>
        <cfvo type="max"/>
        <color rgb="FFFCFCFF"/>
        <color rgb="FFC00000"/>
      </colorScale>
    </cfRule>
  </conditionalFormatting>
  <conditionalFormatting sqref="F8:Z8">
    <cfRule type="colorScale" priority="3">
      <colorScale>
        <cfvo type="min"/>
        <cfvo type="max"/>
        <color rgb="FFFCFCFF"/>
        <color rgb="FFF8696B"/>
      </colorScale>
    </cfRule>
    <cfRule type="colorScale" priority="4">
      <colorScale>
        <cfvo type="min"/>
        <cfvo type="max"/>
        <color rgb="FFFCFCFF"/>
        <color rgb="FF63BE7B"/>
      </colorScale>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Intro</vt:lpstr>
      <vt:lpstr>Home Tracker Input Sheet</vt:lpstr>
      <vt:lpstr>Flow Tracker Input Sheet</vt:lpstr>
      <vt:lpstr>Hummus Town, growing stock</vt:lpstr>
      <vt:lpstr>Hummus Town, constant stock</vt:lpstr>
      <vt:lpstr>Hummus Town, build more</vt:lpstr>
      <vt:lpstr>Lifespan</vt:lpstr>
      <vt:lpstr>scale_orig</vt:lpstr>
      <vt:lpstr>shape_orig</vt:lpstr>
      <vt:lpstr>shift_orig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Reed</dc:creator>
  <cp:lastModifiedBy>Reed Miller</cp:lastModifiedBy>
  <dcterms:created xsi:type="dcterms:W3CDTF">2022-09-13T19:08:12Z</dcterms:created>
  <dcterms:modified xsi:type="dcterms:W3CDTF">2026-07-05T20:02:28Z</dcterms:modified>
</cp:coreProperties>
</file>